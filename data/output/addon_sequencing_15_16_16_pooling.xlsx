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AC-seq_1" sheetId="1" state="visible" r:id="rId1"/>
    <sheet name="ATAC-seq_2" sheetId="2" state="visible" r:id="rId2"/>
    <sheet name="RNA-seq" sheetId="3" state="visible" r:id="rId3"/>
    <sheet name="sRNA-seq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charset val="1"/>
      <family val="2"/>
      <b val="1"/>
      <color rgb="FF000000"/>
      <sz val="16"/>
    </font>
    <font>
      <name val="Calibri"/>
      <charset val="1"/>
      <family val="2"/>
      <sz val="12"/>
    </font>
    <font>
      <name val="Calibri"/>
      <charset val="1"/>
      <family val="2"/>
      <b val="1"/>
      <sz val="12"/>
    </font>
    <font>
      <name val="Calibri"/>
      <charset val="1"/>
      <family val="2"/>
      <color rgb="FF000000"/>
      <sz val="12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b val="1"/>
      <color rgb="FF006100"/>
      <sz val="12"/>
    </font>
    <font>
      <name val="Calibri"/>
      <family val="2"/>
      <color rgb="FF000000"/>
      <sz val="12"/>
    </font>
  </fonts>
  <fills count="9">
    <fill>
      <patternFill/>
    </fill>
    <fill>
      <patternFill patternType="gray125"/>
    </fill>
    <fill>
      <patternFill patternType="solid">
        <fgColor rgb="FFD9D9D9"/>
        <bgColor rgb="FFC5E0B4"/>
      </patternFill>
    </fill>
    <fill>
      <patternFill patternType="solid">
        <fgColor rgb="FFFFE699"/>
        <bgColor rgb="FFFFEB9C"/>
      </patternFill>
    </fill>
    <fill>
      <patternFill patternType="solid">
        <fgColor rgb="FFF8CBAD"/>
        <bgColor rgb="FFFFE699"/>
      </patternFill>
    </fill>
    <fill>
      <patternFill patternType="solid">
        <fgColor rgb="FFC5E0B4"/>
        <bgColor rgb="FFC6EFCE"/>
      </patternFill>
    </fill>
    <fill>
      <patternFill patternType="solid">
        <fgColor rgb="FFFFFF00"/>
        <bgColor rgb="FFC6EFCE"/>
      </patternFill>
    </fill>
    <fill>
      <patternFill patternType="solid">
        <fgColor rgb="FFB4C7E7"/>
        <bgColor rgb="FF99CCFF"/>
      </patternFill>
    </fill>
    <fill>
      <patternFill patternType="solid">
        <fgColor rgb="FFFFD320"/>
        <bgColor rgb="FFFFFF00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  <border>
      <left style="medium"/>
      <right style="thin"/>
      <top/>
      <bottom style="thin"/>
      <diagonal/>
    </border>
    <border>
      <left style="thin"/>
      <right style="medium"/>
      <top/>
      <bottom style="thin"/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2" fillId="3" borderId="3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3" fillId="4" borderId="7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2" fontId="4" fillId="0" borderId="11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/>
    </xf>
    <xf numFmtId="2" fontId="4" fillId="0" borderId="0" pivotButton="0" quotePrefix="0" xfId="0"/>
    <xf numFmtId="0" fontId="4" fillId="0" borderId="3" applyAlignment="1" pivotButton="0" quotePrefix="0" xfId="0">
      <alignment horizontal="center" vertical="center"/>
    </xf>
    <xf numFmtId="2" fontId="4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2" fontId="5" fillId="0" borderId="6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general" vertical="bottom"/>
    </xf>
    <xf numFmtId="0" fontId="2" fillId="0" borderId="0" applyAlignment="1" pivotButton="0" quotePrefix="0" xfId="0">
      <alignment horizontal="general" vertical="bottom"/>
    </xf>
    <xf numFmtId="0" fontId="2" fillId="0" borderId="0" applyAlignment="1" pivotButton="0" quotePrefix="0" xfId="0">
      <alignment horizontal="general" vertical="center"/>
    </xf>
    <xf numFmtId="0" fontId="3" fillId="2" borderId="12" applyAlignment="1" pivotButton="0" quotePrefix="0" xfId="0">
      <alignment horizontal="center" vertical="center" wrapText="1"/>
    </xf>
    <xf numFmtId="0" fontId="3" fillId="2" borderId="13" applyAlignment="1" pivotButton="0" quotePrefix="0" xfId="0">
      <alignment horizontal="center" vertical="center" wrapText="1"/>
    </xf>
    <xf numFmtId="0" fontId="2" fillId="3" borderId="14" applyAlignment="1" pivotButton="0" quotePrefix="0" xfId="0">
      <alignment horizontal="center" vertical="center" wrapText="1"/>
    </xf>
    <xf numFmtId="0" fontId="2" fillId="3" borderId="15" applyAlignment="1" pivotButton="0" quotePrefix="0" xfId="0">
      <alignment horizontal="center" vertical="center" wrapText="1"/>
    </xf>
    <xf numFmtId="2" fontId="2" fillId="0" borderId="0" applyAlignment="1" pivotButton="0" quotePrefix="0" xfId="0">
      <alignment horizontal="general" vertical="center"/>
    </xf>
    <xf numFmtId="0" fontId="4" fillId="0" borderId="14" applyAlignment="1" pivotButton="0" quotePrefix="0" xfId="0">
      <alignment horizontal="center" vertical="bottom"/>
    </xf>
    <xf numFmtId="0" fontId="4" fillId="0" borderId="15" applyAlignment="1" pivotButton="0" quotePrefix="0" xfId="0">
      <alignment horizontal="center" vertical="bottom"/>
    </xf>
    <xf numFmtId="0" fontId="2" fillId="3" borderId="14" applyAlignment="1" pivotButton="0" quotePrefix="0" xfId="0">
      <alignment horizontal="center" vertical="center"/>
    </xf>
    <xf numFmtId="0" fontId="2" fillId="3" borderId="15" applyAlignment="1" pivotButton="0" quotePrefix="0" xfId="0">
      <alignment horizontal="center" vertical="center"/>
    </xf>
    <xf numFmtId="0" fontId="2" fillId="3" borderId="16" applyAlignment="1" pivotButton="0" quotePrefix="0" xfId="0">
      <alignment horizontal="center" vertical="center"/>
    </xf>
    <xf numFmtId="0" fontId="2" fillId="3" borderId="17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3" fillId="4" borderId="18" applyAlignment="1" pivotButton="0" quotePrefix="0" xfId="0">
      <alignment horizontal="center" vertical="center" wrapText="1"/>
    </xf>
    <xf numFmtId="0" fontId="3" fillId="5" borderId="1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2" fontId="4" fillId="0" borderId="22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2" fontId="4" fillId="0" borderId="15" applyAlignment="1" pivotButton="0" quotePrefix="0" xfId="0">
      <alignment horizontal="center" vertical="center"/>
    </xf>
    <xf numFmtId="2" fontId="4" fillId="0" borderId="0" applyAlignment="1" pivotButton="0" quotePrefix="0" xfId="0">
      <alignment horizontal="left" vertical="center"/>
    </xf>
    <xf numFmtId="0" fontId="5" fillId="0" borderId="16" applyAlignment="1" pivotButton="0" quotePrefix="0" xfId="0">
      <alignment horizontal="center" vertical="center"/>
    </xf>
    <xf numFmtId="2" fontId="5" fillId="0" borderId="17" applyAlignment="1" pivotButton="0" quotePrefix="0" xfId="0">
      <alignment horizontal="center" vertical="center"/>
    </xf>
    <xf numFmtId="4" fontId="2" fillId="0" borderId="0" applyAlignment="1" pivotButton="0" quotePrefix="0" xfId="0">
      <alignment horizontal="general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cols>
    <col width="10.875" customWidth="1" min="1" max="1"/>
    <col width="33.625" customWidth="1" min="2" max="2"/>
    <col width="10.875" customWidth="1" min="3" max="3"/>
    <col width="12.375" customWidth="1" min="9" max="9"/>
    <col width="20.5" customWidth="1" min="10" max="10"/>
    <col width="10.875" customWidth="1" min="11" max="11"/>
  </cols>
  <sheetData>
    <row r="1" ht="50.1" customHeight="1"/>
    <row r="2" ht="21" customHeight="1">
      <c r="A2" s="1" t="inlineStr">
        <is>
          <t>Equimolar pooling for Illumina Sequencing</t>
        </is>
      </c>
    </row>
    <row r="3"/>
    <row r="4">
      <c r="A4" s="2" t="inlineStr">
        <is>
          <t>Complete the tables below to calculate the pool volumes:</t>
        </is>
      </c>
      <c r="B4" s="3" t="n"/>
      <c r="C4" s="3" t="n"/>
      <c r="D4" s="3" t="n"/>
      <c r="E4" s="3" t="n"/>
      <c r="H4" s="3" t="n"/>
      <c r="I4" s="3" t="n"/>
      <c r="J4" s="3" t="n"/>
      <c r="K4" s="3" t="n"/>
      <c r="L4" s="3" t="n"/>
      <c r="M4" s="3" t="n"/>
    </row>
    <row r="5">
      <c r="A5" s="2" t="n"/>
      <c r="B5" s="3" t="inlineStr">
        <is>
          <t>Insert extra rows to the table as needed</t>
        </is>
      </c>
      <c r="C5" s="3" t="n"/>
      <c r="D5" s="3" t="n"/>
      <c r="E5" s="3" t="n"/>
      <c r="H5" s="3" t="n"/>
      <c r="I5" s="3" t="n"/>
      <c r="J5" s="3" t="n"/>
      <c r="K5" s="3" t="n"/>
      <c r="L5" s="3" t="n"/>
      <c r="M5" s="3" t="n"/>
    </row>
    <row r="6">
      <c r="A6" s="2" t="n"/>
      <c r="B6" s="3" t="inlineStr">
        <is>
          <t>Adjust the sample number to the number of libraries in the pool (yellow table)</t>
        </is>
      </c>
      <c r="C6" s="3" t="n"/>
      <c r="D6" s="3" t="n"/>
      <c r="E6" s="3" t="n"/>
      <c r="H6" s="3" t="n"/>
      <c r="I6" s="3" t="n"/>
      <c r="J6" s="3" t="n"/>
      <c r="K6" s="3" t="n"/>
      <c r="L6" s="3" t="n"/>
      <c r="M6" s="3" t="n"/>
    </row>
    <row r="7">
      <c r="A7" s="2" t="n"/>
      <c r="B7" s="3" t="inlineStr">
        <is>
          <t>Adjust the Total Concentration of POOL (nM) and Total Volume of POOL (μl)  (yellow table) dependening on your individual library concentrations so that all volumes (green column) are within range</t>
        </is>
      </c>
      <c r="C7" s="3" t="n"/>
      <c r="D7" s="3" t="n"/>
      <c r="E7" s="3" t="n"/>
      <c r="H7" s="3" t="n"/>
      <c r="I7" s="3" t="n"/>
      <c r="J7" s="3" t="n"/>
      <c r="K7" s="3" t="n"/>
      <c r="L7" s="3" t="n"/>
      <c r="M7" s="3" t="n"/>
    </row>
    <row r="8">
      <c r="A8" s="2" t="n"/>
      <c r="B8" s="3" t="inlineStr">
        <is>
          <t xml:space="preserve">Adjust the dilution factor column (red) to enable accurate pipetting (at least 1 μl for green column) </t>
        </is>
      </c>
      <c r="C8" s="3" t="n"/>
      <c r="D8" s="3" t="n"/>
      <c r="E8" s="3" t="n"/>
      <c r="H8" s="3" t="n"/>
      <c r="I8" s="3" t="n"/>
      <c r="J8" s="3" t="n"/>
      <c r="K8" s="3" t="n"/>
      <c r="L8" s="3" t="n"/>
      <c r="M8" s="3" t="n"/>
    </row>
    <row r="9">
      <c r="A9" s="2" t="n"/>
      <c r="B9" s="3" t="inlineStr">
        <is>
          <t>If the Sum of the Volume exceeds the total Volume of POOL then concentration with Ampure XP may be required</t>
        </is>
      </c>
      <c r="C9" s="3" t="n"/>
      <c r="D9" s="3" t="n"/>
      <c r="E9" s="3" t="n"/>
      <c r="H9" s="3" t="n"/>
      <c r="I9" s="3" t="n"/>
      <c r="J9" s="3" t="n"/>
      <c r="K9" s="3" t="n"/>
      <c r="L9" s="3" t="n"/>
      <c r="M9" s="3" t="n"/>
    </row>
    <row r="10" ht="17.1" customHeight="1">
      <c r="A10" s="2" t="n"/>
      <c r="B10" s="2" t="n"/>
      <c r="C10" s="3" t="n"/>
      <c r="D10" s="3" t="n"/>
      <c r="E10" s="3" t="n"/>
      <c r="H10" s="3" t="n"/>
      <c r="I10" s="3" t="n"/>
      <c r="J10" s="3" t="n"/>
      <c r="K10" s="3" t="n"/>
      <c r="L10" s="3" t="n"/>
      <c r="M10" s="3" t="n"/>
    </row>
    <row r="11" ht="17.1" customHeight="1">
      <c r="A11" s="2" t="n"/>
      <c r="B11" s="4" t="inlineStr">
        <is>
          <t>Pool Name</t>
        </is>
      </c>
      <c r="C11" s="5" t="inlineStr">
        <is>
          <t>ATAC-seq_1 add-on pool</t>
        </is>
      </c>
      <c r="D11" s="3" t="n"/>
      <c r="E11" s="3" t="n"/>
      <c r="H11" s="3" t="n"/>
      <c r="I11" s="3" t="n"/>
      <c r="J11" s="3" t="n"/>
      <c r="K11" s="3" t="n"/>
      <c r="L11" s="3" t="n"/>
      <c r="M11" s="3" t="n"/>
    </row>
    <row r="12" ht="17.1" customHeight="1">
      <c r="A12" s="2" t="n"/>
      <c r="B12" s="6" t="inlineStr">
        <is>
          <t>Number of samples</t>
        </is>
      </c>
      <c r="C12" s="7" t="n">
        <v>1</v>
      </c>
      <c r="D12" s="3" t="inlineStr">
        <is>
          <t>Adjust as needed</t>
        </is>
      </c>
      <c r="E12" s="3" t="n"/>
      <c r="H12" s="3" t="n"/>
      <c r="I12" s="3" t="n"/>
      <c r="J12" s="3" t="n"/>
      <c r="K12" s="3" t="n"/>
      <c r="L12" s="3" t="n"/>
      <c r="M12" s="3" t="n"/>
    </row>
    <row r="13">
      <c r="A13" s="2" t="n"/>
      <c r="B13" s="8" t="inlineStr">
        <is>
          <t>final conc each library in pool</t>
        </is>
      </c>
      <c r="C13" s="9">
        <f>IF($C$12&gt;0,$C$14/$C$12,"n/a")</f>
        <v/>
      </c>
      <c r="D13" s="3" t="inlineStr">
        <is>
          <t>auto calculated</t>
        </is>
      </c>
      <c r="E13" s="3" t="n"/>
      <c r="H13" s="3" t="n"/>
      <c r="I13" s="3" t="n"/>
      <c r="J13" s="3" t="n"/>
      <c r="K13" s="3" t="n"/>
      <c r="L13" s="3" t="n"/>
      <c r="M13" s="3" t="n"/>
    </row>
    <row r="14">
      <c r="A14" s="2" t="n"/>
      <c r="B14" s="10" t="inlineStr">
        <is>
          <t>Total Concentration of POOL (nM)</t>
        </is>
      </c>
      <c r="C14" s="11" t="n">
        <v>60</v>
      </c>
      <c r="D14" s="3" t="inlineStr">
        <is>
          <t>Adjust as needed</t>
        </is>
      </c>
      <c r="E14" s="3" t="n"/>
      <c r="H14" s="3" t="inlineStr">
        <is>
          <t>Total concentration of pool is more like 25 nM with ~77 μL volume</t>
        </is>
      </c>
      <c r="I14" s="3" t="n"/>
      <c r="J14" s="3" t="n"/>
      <c r="K14" s="3" t="n"/>
      <c r="L14" s="3" t="n"/>
      <c r="M14" s="3" t="n"/>
    </row>
    <row r="15" ht="17.1" customHeight="1">
      <c r="A15" s="2" t="n"/>
      <c r="B15" s="12" t="inlineStr">
        <is>
          <t>Total Volume of POOL (μl)</t>
        </is>
      </c>
      <c r="C15" s="13" t="n">
        <v>30</v>
      </c>
      <c r="D15" s="3" t="inlineStr">
        <is>
          <t>Adjust as needed</t>
        </is>
      </c>
      <c r="E15" s="3" t="n"/>
      <c r="H15" s="3" t="n"/>
      <c r="I15" s="3" t="n"/>
      <c r="J15" s="3" t="n"/>
      <c r="K15" s="3" t="n"/>
      <c r="L15" s="3" t="n"/>
      <c r="M15" s="3" t="n"/>
    </row>
    <row r="16" ht="17.1" customHeight="1">
      <c r="A16" s="3" t="n"/>
      <c r="B16" s="3" t="n"/>
      <c r="C16" s="3" t="n"/>
      <c r="D16" s="3" t="n"/>
      <c r="E16" s="3" t="n"/>
      <c r="H16" s="3" t="n"/>
      <c r="I16" s="3" t="n"/>
      <c r="J16" s="3" t="n"/>
      <c r="K16" s="3" t="n"/>
      <c r="L16" s="3" t="n"/>
      <c r="M16" s="3" t="n"/>
    </row>
    <row r="17" ht="51" customHeight="1">
      <c r="A17" s="2" t="inlineStr">
        <is>
          <t>proportion_reads_within_pool</t>
        </is>
      </c>
      <c r="B17" s="14" t="inlineStr">
        <is>
          <t>sample name</t>
        </is>
      </c>
      <c r="C17" s="15" t="inlineStr">
        <is>
          <t>Conc undiluted (ng/μl)</t>
        </is>
      </c>
      <c r="D17" s="15" t="inlineStr">
        <is>
          <t>Size (bp)</t>
        </is>
      </c>
      <c r="E17" s="15" t="inlineStr">
        <is>
          <t>Molarity (nM)</t>
        </is>
      </c>
      <c r="F17" t="inlineStr">
        <is>
          <t>Molarity correction factor</t>
        </is>
      </c>
      <c r="G17" t="inlineStr">
        <is>
          <t>Molarity corrected based on previous sequencing (nM)</t>
        </is>
      </c>
      <c r="H17" s="15" t="inlineStr">
        <is>
          <t xml:space="preserve"> Undiluted volume for pool (μl)</t>
        </is>
      </c>
      <c r="I17" s="16" t="inlineStr">
        <is>
          <t>Dilution factor</t>
        </is>
      </c>
      <c r="J17" s="17" t="inlineStr">
        <is>
          <t xml:space="preserve"> Volume for pool (μl)</t>
        </is>
      </c>
      <c r="K17" s="18" t="inlineStr">
        <is>
          <t>Volume aliquot undiluted (uL)</t>
        </is>
      </c>
      <c r="L17" s="18" t="inlineStr">
        <is>
          <t>Volume of water added to dilute (uL)</t>
        </is>
      </c>
      <c r="M17" s="19" t="inlineStr">
        <is>
          <t>Mass of DNA  (ng)</t>
        </is>
      </c>
    </row>
    <row r="18">
      <c r="A18" t="n">
        <v>1</v>
      </c>
      <c r="B18" t="inlineStr">
        <is>
          <t>31_ZI_4_3</t>
        </is>
      </c>
      <c r="C18" t="n">
        <v>4.06</v>
      </c>
      <c r="D18" t="n">
        <v>663</v>
      </c>
      <c r="E18">
        <f>C18*1000000/(660*D18)</f>
        <v/>
      </c>
      <c r="F18" t="n">
        <v>0.8666027112497006</v>
      </c>
      <c r="G18">
        <f>E18*F18</f>
        <v/>
      </c>
      <c r="H18">
        <f>$C$15*($C$14*A18)/G18</f>
        <v/>
      </c>
      <c r="I18">
        <f>IF(H18&gt;=1,1,MAX(2,ROUNDUP(1/H18,0)))</f>
        <v/>
      </c>
      <c r="J18">
        <f>H18*I18</f>
        <v/>
      </c>
      <c r="K18">
        <f>IF(I18&gt;1,1.5,"")</f>
        <v/>
      </c>
      <c r="L18">
        <f>IF(I18&gt;1,K18*(I18-1),"")</f>
        <v/>
      </c>
      <c r="M18">
        <f>C18*H18</f>
        <v/>
      </c>
    </row>
    <row r="19">
      <c r="G19" t="inlineStr">
        <is>
          <t>sum</t>
        </is>
      </c>
      <c r="H19">
        <f>SUM(J18:J18)</f>
        <v/>
      </c>
      <c r="I19" s="20" t="n"/>
      <c r="J19" s="21" t="n"/>
      <c r="K19" s="22" t="n"/>
      <c r="L19" s="22" t="n"/>
      <c r="M19" s="23">
        <f>SUM(M18:M18)</f>
        <v/>
      </c>
      <c r="N19">
        <f>K54/I54</f>
        <v/>
      </c>
      <c r="O19" t="inlineStr">
        <is>
          <t>ng/μl</t>
        </is>
      </c>
    </row>
    <row r="20">
      <c r="G20" t="inlineStr">
        <is>
          <t>add Tris</t>
        </is>
      </c>
      <c r="H20">
        <f>$C$15-H19</f>
        <v/>
      </c>
      <c r="I20" s="24" t="n"/>
      <c r="J20" s="25" t="inlineStr">
        <is>
          <t>if &lt;0 pool concentration required</t>
        </is>
      </c>
      <c r="K20" s="22" t="n"/>
      <c r="L20" s="22" t="n"/>
    </row>
    <row r="21">
      <c r="G21" t="inlineStr">
        <is>
          <t>TOTAL</t>
        </is>
      </c>
      <c r="H21">
        <f>SUM(H19:H20)</f>
        <v/>
      </c>
      <c r="I21" s="26" t="n"/>
      <c r="J21" s="27" t="n"/>
      <c r="K21" s="28" t="n"/>
      <c r="L21" s="28" t="n"/>
    </row>
    <row r="29" ht="17.1" customHeight="1"/>
    <row r="32" ht="17.1" customHeight="1"/>
    <row r="41" ht="17.1" customHeight="1"/>
    <row r="56" ht="17.1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cols>
    <col width="10.875" customWidth="1" min="1" max="1"/>
    <col width="33.625" customWidth="1" min="2" max="2"/>
    <col width="10.875" customWidth="1" min="3" max="3"/>
    <col width="12.375" customWidth="1" min="9" max="9"/>
    <col width="20.5" customWidth="1" min="10" max="10"/>
    <col width="10.875" customWidth="1" min="11" max="11"/>
  </cols>
  <sheetData>
    <row r="1" ht="50.1" customHeight="1"/>
    <row r="2" ht="21" customHeight="1">
      <c r="A2" s="1" t="inlineStr">
        <is>
          <t>Equimolar pooling for Illumina Sequencing</t>
        </is>
      </c>
    </row>
    <row r="3"/>
    <row r="4">
      <c r="A4" s="2" t="inlineStr">
        <is>
          <t>Complete the tables below to calculate the pool volumes:</t>
        </is>
      </c>
      <c r="B4" s="3" t="n"/>
      <c r="C4" s="3" t="n"/>
      <c r="D4" s="3" t="n"/>
      <c r="E4" s="3" t="n"/>
      <c r="H4" s="3" t="n"/>
      <c r="I4" s="3" t="n"/>
      <c r="J4" s="3" t="n"/>
      <c r="K4" s="3" t="n"/>
      <c r="L4" s="3" t="n"/>
      <c r="M4" s="3" t="n"/>
    </row>
    <row r="5">
      <c r="A5" s="2" t="n"/>
      <c r="B5" s="3" t="inlineStr">
        <is>
          <t>Insert extra rows to the table as needed</t>
        </is>
      </c>
      <c r="C5" s="3" t="n"/>
      <c r="D5" s="3" t="n"/>
      <c r="E5" s="3" t="n"/>
      <c r="H5" s="3" t="n"/>
      <c r="I5" s="3" t="n"/>
      <c r="J5" s="3" t="n"/>
      <c r="K5" s="3" t="n"/>
      <c r="L5" s="3" t="n"/>
      <c r="M5" s="3" t="n"/>
    </row>
    <row r="6">
      <c r="A6" s="2" t="n"/>
      <c r="B6" s="3" t="inlineStr">
        <is>
          <t>Adjust the sample number to the number of libraries in the pool (yellow table)</t>
        </is>
      </c>
      <c r="C6" s="3" t="n"/>
      <c r="D6" s="3" t="n"/>
      <c r="E6" s="3" t="n"/>
      <c r="H6" s="3" t="n"/>
      <c r="I6" s="3" t="n"/>
      <c r="J6" s="3" t="n"/>
      <c r="K6" s="3" t="n"/>
      <c r="L6" s="3" t="n"/>
      <c r="M6" s="3" t="n"/>
    </row>
    <row r="7">
      <c r="A7" s="2" t="n"/>
      <c r="B7" s="3" t="inlineStr">
        <is>
          <t>Adjust the Total Concentration of POOL (nM) and Total Volume of POOL (μl)  (yellow table) dependening on your individual library concentrations so that all volumes (green column) are within range</t>
        </is>
      </c>
      <c r="C7" s="3" t="n"/>
      <c r="D7" s="3" t="n"/>
      <c r="E7" s="3" t="n"/>
      <c r="H7" s="3" t="n"/>
      <c r="I7" s="3" t="n"/>
      <c r="J7" s="3" t="n"/>
      <c r="K7" s="3" t="n"/>
      <c r="L7" s="3" t="n"/>
      <c r="M7" s="3" t="n"/>
    </row>
    <row r="8">
      <c r="A8" s="2" t="n"/>
      <c r="B8" s="3" t="inlineStr">
        <is>
          <t xml:space="preserve">Adjust the dilution factor column (red) to enable accurate pipetting (at least 1 μl for green column) </t>
        </is>
      </c>
      <c r="C8" s="3" t="n"/>
      <c r="D8" s="3" t="n"/>
      <c r="E8" s="3" t="n"/>
      <c r="H8" s="3" t="n"/>
      <c r="I8" s="3" t="n"/>
      <c r="J8" s="3" t="n"/>
      <c r="K8" s="3" t="n"/>
      <c r="L8" s="3" t="n"/>
      <c r="M8" s="3" t="n"/>
    </row>
    <row r="9">
      <c r="A9" s="2" t="n"/>
      <c r="B9" s="3" t="inlineStr">
        <is>
          <t>If the Sum of the Volume exceeds the total Volume of POOL then concentration with Ampure XP may be required</t>
        </is>
      </c>
      <c r="C9" s="3" t="n"/>
      <c r="D9" s="3" t="n"/>
      <c r="E9" s="3" t="n"/>
      <c r="H9" s="3" t="n"/>
      <c r="I9" s="3" t="n"/>
      <c r="J9" s="3" t="n"/>
      <c r="K9" s="3" t="n"/>
      <c r="L9" s="3" t="n"/>
      <c r="M9" s="3" t="n"/>
    </row>
    <row r="10" ht="17.1" customHeight="1">
      <c r="A10" s="2" t="n"/>
      <c r="B10" s="2" t="n"/>
      <c r="C10" s="3" t="n"/>
      <c r="D10" s="3" t="n"/>
      <c r="E10" s="3" t="n"/>
      <c r="H10" s="3" t="n"/>
      <c r="I10" s="3" t="n"/>
      <c r="J10" s="3" t="n"/>
      <c r="K10" s="3" t="n"/>
      <c r="L10" s="3" t="n"/>
      <c r="M10" s="3" t="n"/>
    </row>
    <row r="11" ht="17.1" customHeight="1">
      <c r="A11" s="2" t="n"/>
      <c r="B11" s="4" t="inlineStr">
        <is>
          <t>Pool Name</t>
        </is>
      </c>
      <c r="C11" s="5" t="inlineStr">
        <is>
          <t>ATAC-seq_2 add-on pool</t>
        </is>
      </c>
      <c r="D11" s="3" t="n"/>
      <c r="E11" s="3" t="n"/>
      <c r="H11" s="3" t="n"/>
      <c r="I11" s="3" t="n"/>
      <c r="J11" s="3" t="n"/>
      <c r="K11" s="3" t="n"/>
      <c r="L11" s="3" t="n"/>
      <c r="M11" s="3" t="n"/>
    </row>
    <row r="12" ht="17.1" customHeight="1">
      <c r="A12" s="2" t="n"/>
      <c r="B12" s="6" t="inlineStr">
        <is>
          <t>Number of samples</t>
        </is>
      </c>
      <c r="C12" s="7" t="n">
        <v>14</v>
      </c>
      <c r="D12" s="3" t="inlineStr">
        <is>
          <t>Adjust as needed</t>
        </is>
      </c>
      <c r="E12" s="3" t="n"/>
      <c r="H12" s="3" t="n"/>
      <c r="I12" s="3" t="n"/>
      <c r="J12" s="3" t="n"/>
      <c r="K12" s="3" t="n"/>
      <c r="L12" s="3" t="n"/>
      <c r="M12" s="3" t="n"/>
    </row>
    <row r="13">
      <c r="A13" s="2" t="n"/>
      <c r="B13" s="8" t="inlineStr">
        <is>
          <t>final conc each library in pool</t>
        </is>
      </c>
      <c r="C13" s="9">
        <f>IF($C$12&gt;0,$C$14/$C$12,"n/a")</f>
        <v/>
      </c>
      <c r="D13" s="3" t="inlineStr">
        <is>
          <t>auto calculated</t>
        </is>
      </c>
      <c r="E13" s="3" t="n"/>
      <c r="H13" s="3" t="n"/>
      <c r="I13" s="3" t="n"/>
      <c r="J13" s="3" t="n"/>
      <c r="K13" s="3" t="n"/>
      <c r="L13" s="3" t="n"/>
      <c r="M13" s="3" t="n"/>
    </row>
    <row r="14">
      <c r="A14" s="2" t="n"/>
      <c r="B14" s="10" t="inlineStr">
        <is>
          <t>Total Concentration of POOL (nM)</t>
        </is>
      </c>
      <c r="C14" s="11" t="n">
        <v>60</v>
      </c>
      <c r="D14" s="3" t="inlineStr">
        <is>
          <t>Adjust as needed</t>
        </is>
      </c>
      <c r="E14" s="3" t="n"/>
      <c r="H14" s="3" t="inlineStr">
        <is>
          <t>Total concentration of pool is more like 25 nM with ~77 μL volume</t>
        </is>
      </c>
      <c r="I14" s="3" t="n"/>
      <c r="J14" s="3" t="n"/>
      <c r="K14" s="3" t="n"/>
      <c r="L14" s="3" t="n"/>
      <c r="M14" s="3" t="n"/>
    </row>
    <row r="15" ht="17.1" customHeight="1">
      <c r="A15" s="2" t="n"/>
      <c r="B15" s="12" t="inlineStr">
        <is>
          <t>Total Volume of POOL (μl)</t>
        </is>
      </c>
      <c r="C15" s="13" t="n">
        <v>30</v>
      </c>
      <c r="D15" s="3" t="inlineStr">
        <is>
          <t>Adjust as needed</t>
        </is>
      </c>
      <c r="E15" s="3" t="n"/>
      <c r="H15" s="3" t="n"/>
      <c r="I15" s="3" t="n"/>
      <c r="J15" s="3" t="n"/>
      <c r="K15" s="3" t="n"/>
      <c r="L15" s="3" t="n"/>
      <c r="M15" s="3" t="n"/>
    </row>
    <row r="16" ht="17.1" customHeight="1">
      <c r="A16" s="3" t="n"/>
      <c r="B16" s="3" t="n"/>
      <c r="C16" s="3" t="n"/>
      <c r="D16" s="3" t="n"/>
      <c r="E16" s="3" t="n"/>
      <c r="H16" s="3" t="n"/>
      <c r="I16" s="3" t="n"/>
      <c r="J16" s="3" t="n"/>
      <c r="K16" s="3" t="n"/>
      <c r="L16" s="3" t="n"/>
      <c r="M16" s="3" t="n"/>
    </row>
    <row r="17" ht="51" customHeight="1">
      <c r="A17" s="2" t="inlineStr">
        <is>
          <t>proportion_reads_within_pool</t>
        </is>
      </c>
      <c r="B17" s="14" t="inlineStr">
        <is>
          <t>sample name</t>
        </is>
      </c>
      <c r="C17" s="15" t="inlineStr">
        <is>
          <t>Conc undiluted (ng/μl)</t>
        </is>
      </c>
      <c r="D17" s="15" t="inlineStr">
        <is>
          <t>Size (bp)</t>
        </is>
      </c>
      <c r="E17" s="15" t="inlineStr">
        <is>
          <t>Molarity (nM)</t>
        </is>
      </c>
      <c r="F17" t="inlineStr">
        <is>
          <t>Molarity correction factor</t>
        </is>
      </c>
      <c r="G17" t="inlineStr">
        <is>
          <t>Molarity corrected based on previous sequencing (nM)</t>
        </is>
      </c>
      <c r="H17" s="15" t="inlineStr">
        <is>
          <t xml:space="preserve"> Undiluted volume for pool (μl)</t>
        </is>
      </c>
      <c r="I17" s="16" t="inlineStr">
        <is>
          <t>Dilution factor</t>
        </is>
      </c>
      <c r="J17" s="17" t="inlineStr">
        <is>
          <t xml:space="preserve"> Volume for pool (μl)</t>
        </is>
      </c>
      <c r="K17" s="18" t="inlineStr">
        <is>
          <t>Volume aliquot undiluted (uL)</t>
        </is>
      </c>
      <c r="L17" s="18" t="inlineStr">
        <is>
          <t>Volume of water added to dilute (uL)</t>
        </is>
      </c>
      <c r="M17" s="19" t="inlineStr">
        <is>
          <t>Mass of DNA  (ng)</t>
        </is>
      </c>
    </row>
    <row r="18">
      <c r="A18" t="n">
        <v>0.1144792143107838</v>
      </c>
      <c r="B18" t="inlineStr">
        <is>
          <t>22_FR_5_2</t>
        </is>
      </c>
      <c r="C18" t="n">
        <v>8.24</v>
      </c>
      <c r="D18" t="n">
        <v>436.26</v>
      </c>
      <c r="E18">
        <f>C18*1000000/(660*D18)</f>
        <v/>
      </c>
      <c r="F18" t="n">
        <v>0.3934469915075161</v>
      </c>
      <c r="G18">
        <f>E18*F18</f>
        <v/>
      </c>
      <c r="H18">
        <f>$C$15*($C$14*A18)/G18</f>
        <v/>
      </c>
      <c r="I18">
        <f>IF(H18&gt;=1,1,MAX(2,ROUNDUP(1/H18,0)))</f>
        <v/>
      </c>
      <c r="J18">
        <f>H18*I18</f>
        <v/>
      </c>
      <c r="K18">
        <f>IF(I18&gt;1,1.5,"")</f>
        <v/>
      </c>
      <c r="L18">
        <f>IF(I18&gt;1,K18*(I18-1),"")</f>
        <v/>
      </c>
      <c r="M18">
        <f>C18*H18</f>
        <v/>
      </c>
    </row>
    <row r="19">
      <c r="A19" t="n">
        <v>0.3218430184784046</v>
      </c>
      <c r="B19" t="inlineStr">
        <is>
          <t>10_FR_5_1</t>
        </is>
      </c>
      <c r="C19" t="n">
        <v>11.6</v>
      </c>
      <c r="D19" t="n">
        <v>371.09</v>
      </c>
      <c r="E19">
        <f>C19*1000000/(660*D19)</f>
        <v/>
      </c>
      <c r="F19" t="n">
        <v>2.000835069806202</v>
      </c>
      <c r="G19">
        <f>E19*F19</f>
        <v/>
      </c>
      <c r="H19">
        <f>$C$15*($C$14*A19)/G19</f>
        <v/>
      </c>
      <c r="I19">
        <f>IF(H19&gt;=1,1,MAX(2,ROUNDUP(1/H19,0)))</f>
        <v/>
      </c>
      <c r="J19">
        <f>H19*I19</f>
        <v/>
      </c>
      <c r="K19">
        <f>IF(I19&gt;1,1.5,"")</f>
        <v/>
      </c>
      <c r="L19">
        <f>IF(I19&gt;1,K19*(I19-1),"")</f>
        <v/>
      </c>
      <c r="M19">
        <f>C19*H19</f>
        <v/>
      </c>
    </row>
    <row r="20">
      <c r="A20" t="n">
        <v>0.1077580109472864</v>
      </c>
      <c r="B20" t="inlineStr">
        <is>
          <t>17_ZI_3_2</t>
        </is>
      </c>
      <c r="C20" t="n">
        <v>15.4</v>
      </c>
      <c r="D20" t="n">
        <v>321.44</v>
      </c>
      <c r="E20">
        <f>C20*1000000/(660*D20)</f>
        <v/>
      </c>
      <c r="F20" t="n">
        <v>0.780364696731308</v>
      </c>
      <c r="G20">
        <f>E20*F20</f>
        <v/>
      </c>
      <c r="H20">
        <f>$C$15*($C$14*A20)/G20</f>
        <v/>
      </c>
      <c r="I20">
        <f>IF(H20&gt;=1,1,MAX(2,ROUNDUP(1/H20,0)))</f>
        <v/>
      </c>
      <c r="J20">
        <f>H20*I20</f>
        <v/>
      </c>
      <c r="K20">
        <f>IF(I20&gt;1,1.5,"")</f>
        <v/>
      </c>
      <c r="L20">
        <f>IF(I20&gt;1,K20*(I20-1),"")</f>
        <v/>
      </c>
      <c r="M20">
        <f>C20*H20</f>
        <v/>
      </c>
    </row>
    <row r="21">
      <c r="A21" t="n">
        <v>0.09617039222174041</v>
      </c>
      <c r="B21" t="inlineStr">
        <is>
          <t>9_ZI_5_1</t>
        </is>
      </c>
      <c r="C21" t="n">
        <v>25.7</v>
      </c>
      <c r="D21" t="n">
        <v>374.77</v>
      </c>
      <c r="E21">
        <f>C21*1000000/(660*D21)</f>
        <v/>
      </c>
      <c r="F21" t="n">
        <v>0.7069028693152585</v>
      </c>
      <c r="G21">
        <f>E21*F21</f>
        <v/>
      </c>
      <c r="H21">
        <f>$C$15*($C$14*A21)/G21</f>
        <v/>
      </c>
      <c r="I21">
        <f>IF(H21&gt;=1,1,MAX(2,ROUNDUP(1/H21,0)))</f>
        <v/>
      </c>
      <c r="J21">
        <f>H21*I21</f>
        <v/>
      </c>
      <c r="K21">
        <f>IF(I21&gt;1,1.5,"")</f>
        <v/>
      </c>
      <c r="L21">
        <f>IF(I21&gt;1,K21*(I21-1),"")</f>
        <v/>
      </c>
      <c r="M21">
        <f>C21*H21</f>
        <v/>
      </c>
    </row>
    <row r="22">
      <c r="A22" t="n">
        <v>0.06250911524600289</v>
      </c>
      <c r="B22" t="inlineStr">
        <is>
          <t>11_ZI_6_1</t>
        </is>
      </c>
      <c r="C22" t="n">
        <v>10</v>
      </c>
      <c r="D22" t="n">
        <v>340</v>
      </c>
      <c r="E22">
        <f>C22*1000000/(660*D22)</f>
        <v/>
      </c>
      <c r="F22" t="n">
        <v>0.8015555812201556</v>
      </c>
      <c r="G22">
        <f>E22*F22</f>
        <v/>
      </c>
      <c r="H22">
        <f>$C$15*($C$14*A22)/G22</f>
        <v/>
      </c>
      <c r="I22">
        <f>IF(H22&gt;=1,1,MAX(2,ROUNDUP(1/H22,0)))</f>
        <v/>
      </c>
      <c r="J22">
        <f>H22*I22</f>
        <v/>
      </c>
      <c r="K22">
        <f>IF(I22&gt;1,1.5,"")</f>
        <v/>
      </c>
      <c r="L22">
        <f>IF(I22&gt;1,K22*(I22-1),"")</f>
        <v/>
      </c>
      <c r="M22">
        <f>C22*H22</f>
        <v/>
      </c>
    </row>
    <row r="23">
      <c r="A23" t="n">
        <v>0.0481105235453362</v>
      </c>
      <c r="B23" t="inlineStr">
        <is>
          <t>6_FR_3_1</t>
        </is>
      </c>
      <c r="C23" t="n">
        <v>11.8</v>
      </c>
      <c r="D23" t="n">
        <v>337.82</v>
      </c>
      <c r="E23">
        <f>C23*1000000/(660*D23)</f>
        <v/>
      </c>
      <c r="F23" t="n">
        <v>0.6776502507655967</v>
      </c>
      <c r="G23">
        <f>E23*F23</f>
        <v/>
      </c>
      <c r="H23">
        <f>$C$15*($C$14*A23)/G23</f>
        <v/>
      </c>
      <c r="I23">
        <f>IF(H23&gt;=1,1,MAX(2,ROUNDUP(1/H23,0)))</f>
        <v/>
      </c>
      <c r="J23">
        <f>H23*I23</f>
        <v/>
      </c>
      <c r="K23">
        <f>IF(I23&gt;1,1.5,"")</f>
        <v/>
      </c>
      <c r="L23">
        <f>IF(I23&gt;1,K23*(I23-1),"")</f>
        <v/>
      </c>
      <c r="M23">
        <f>C23*H23</f>
        <v/>
      </c>
    </row>
    <row r="24">
      <c r="A24" t="n">
        <v>0.05270083713684078</v>
      </c>
      <c r="B24" t="inlineStr">
        <is>
          <t>21_ZI_5_2</t>
        </is>
      </c>
      <c r="C24" t="n">
        <v>4.4</v>
      </c>
      <c r="D24" t="n">
        <v>337.84</v>
      </c>
      <c r="E24">
        <f>C24*1000000/(660*D24)</f>
        <v/>
      </c>
      <c r="F24" t="n">
        <v>0.7509429589370131</v>
      </c>
      <c r="G24">
        <f>E24*F24</f>
        <v/>
      </c>
      <c r="H24">
        <f>$C$15*($C$14*A24)/G24</f>
        <v/>
      </c>
      <c r="I24">
        <f>IF(H24&gt;=1,1,MAX(2,ROUNDUP(1/H24,0)))</f>
        <v/>
      </c>
      <c r="J24">
        <f>H24*I24</f>
        <v/>
      </c>
      <c r="K24">
        <f>IF(I24&gt;1,1.5,"")</f>
        <v/>
      </c>
      <c r="L24">
        <f>IF(I24&gt;1,K24*(I24-1),"")</f>
        <v/>
      </c>
      <c r="M24">
        <f>C24*H24</f>
        <v/>
      </c>
    </row>
    <row r="25">
      <c r="A25" t="n">
        <v>0.04900762220666292</v>
      </c>
      <c r="B25" t="inlineStr">
        <is>
          <t>28_FR_2_3</t>
        </is>
      </c>
      <c r="C25" t="n">
        <v>6.69</v>
      </c>
      <c r="D25" t="n">
        <v>359.14</v>
      </c>
      <c r="E25">
        <f>C25*1000000/(660*D25)</f>
        <v/>
      </c>
      <c r="F25" t="n">
        <v>0.7019431389907489</v>
      </c>
      <c r="G25">
        <f>E25*F25</f>
        <v/>
      </c>
      <c r="H25">
        <f>$C$15*($C$14*A25)/G25</f>
        <v/>
      </c>
      <c r="I25">
        <f>IF(H25&gt;=1,1,MAX(2,ROUNDUP(1/H25,0)))</f>
        <v/>
      </c>
      <c r="J25">
        <f>H25*I25</f>
        <v/>
      </c>
      <c r="K25">
        <f>IF(I25&gt;1,1.5,"")</f>
        <v/>
      </c>
      <c r="L25">
        <f>IF(I25&gt;1,K25*(I25-1),"")</f>
        <v/>
      </c>
      <c r="M25">
        <f>C25*H25</f>
        <v/>
      </c>
    </row>
    <row r="26">
      <c r="A26" t="n">
        <v>0.05301039871498618</v>
      </c>
      <c r="B26" t="inlineStr">
        <is>
          <t>14_FR_1_2</t>
        </is>
      </c>
      <c r="C26" t="n">
        <v>4.19</v>
      </c>
      <c r="D26" t="n">
        <v>290.37</v>
      </c>
      <c r="E26">
        <f>C26*1000000/(660*D26)</f>
        <v/>
      </c>
      <c r="F26" t="n">
        <v>1.092311330052148</v>
      </c>
      <c r="G26">
        <f>E26*F26</f>
        <v/>
      </c>
      <c r="H26">
        <f>$C$15*($C$14*A26)/G26</f>
        <v/>
      </c>
      <c r="I26">
        <f>IF(H26&gt;=1,1,MAX(2,ROUNDUP(1/H26,0)))</f>
        <v/>
      </c>
      <c r="J26">
        <f>H26*I26</f>
        <v/>
      </c>
      <c r="K26">
        <f>IF(I26&gt;1,1.5,"")</f>
        <v/>
      </c>
      <c r="L26">
        <f>IF(I26&gt;1,K26*(I26-1),"")</f>
        <v/>
      </c>
      <c r="M26">
        <f>C26*H26</f>
        <v/>
      </c>
    </row>
    <row r="27">
      <c r="A27" t="n">
        <v>0.02503327798685173</v>
      </c>
      <c r="B27" t="inlineStr">
        <is>
          <t>15_ZI_2_2</t>
        </is>
      </c>
      <c r="C27" t="n">
        <v>12.8</v>
      </c>
      <c r="D27" t="n">
        <v>304.87</v>
      </c>
      <c r="E27">
        <f>C27*1000000/(660*D27)</f>
        <v/>
      </c>
      <c r="F27" t="n">
        <v>0.6413657256553509</v>
      </c>
      <c r="G27">
        <f>E27*F27</f>
        <v/>
      </c>
      <c r="H27">
        <f>$C$15*($C$14*A27)/G27</f>
        <v/>
      </c>
      <c r="I27">
        <f>IF(H27&gt;=1,1,MAX(2,ROUNDUP(1/H27,0)))</f>
        <v/>
      </c>
      <c r="J27">
        <f>H27*I27</f>
        <v/>
      </c>
      <c r="K27">
        <f>IF(I27&gt;1,1.5,"")</f>
        <v/>
      </c>
      <c r="L27">
        <f>IF(I27&gt;1,K27*(I27-1),"")</f>
        <v/>
      </c>
      <c r="M27">
        <f>C27*H27</f>
        <v/>
      </c>
    </row>
    <row r="28">
      <c r="A28" t="n">
        <v>0.0236675537126152</v>
      </c>
      <c r="B28" t="inlineStr">
        <is>
          <t>7_ZI_4_1</t>
        </is>
      </c>
      <c r="C28" t="n">
        <v>13.5</v>
      </c>
      <c r="D28" t="n">
        <v>397.03</v>
      </c>
      <c r="E28">
        <f>C28*1000000/(660*D28)</f>
        <v/>
      </c>
      <c r="F28" t="n">
        <v>0.6404779820078974</v>
      </c>
      <c r="G28">
        <f>E28*F28</f>
        <v/>
      </c>
      <c r="H28">
        <f>$C$15*($C$14*A28)/G28</f>
        <v/>
      </c>
      <c r="I28">
        <f>IF(H28&gt;=1,1,MAX(2,ROUNDUP(1/H28,0)))</f>
        <v/>
      </c>
      <c r="J28">
        <f>H28*I28</f>
        <v/>
      </c>
      <c r="K28">
        <f>IF(I28&gt;1,1.5,"")</f>
        <v/>
      </c>
      <c r="L28">
        <f>IF(I28&gt;1,K28*(I28-1),"")</f>
        <v/>
      </c>
      <c r="M28">
        <f>C28*H28</f>
        <v/>
      </c>
    </row>
    <row r="29" ht="17.1" customHeight="1">
      <c r="A29" t="n">
        <v>0.02741179667791124</v>
      </c>
      <c r="B29" t="inlineStr">
        <is>
          <t>1_ZI_1_1</t>
        </is>
      </c>
      <c r="C29" t="n">
        <v>19.6</v>
      </c>
      <c r="D29" t="n">
        <v>426.56</v>
      </c>
      <c r="E29">
        <f>C29*1000000/(660*D29)</f>
        <v/>
      </c>
      <c r="F29" t="n">
        <v>0.8186359074766745</v>
      </c>
      <c r="G29">
        <f>E29*F29</f>
        <v/>
      </c>
      <c r="H29">
        <f>$C$15*($C$14*A29)/G29</f>
        <v/>
      </c>
      <c r="I29">
        <f>IF(H29&gt;=1,1,MAX(2,ROUNDUP(1/H29,0)))</f>
        <v/>
      </c>
      <c r="J29">
        <f>H29*I29</f>
        <v/>
      </c>
      <c r="K29">
        <f>IF(I29&gt;1,1.5,"")</f>
        <v/>
      </c>
      <c r="L29">
        <f>IF(I29&gt;1,K29*(I29-1),"")</f>
        <v/>
      </c>
      <c r="M29">
        <f>C29*H29</f>
        <v/>
      </c>
    </row>
    <row r="30">
      <c r="A30" t="n">
        <v>0.01195992685510673</v>
      </c>
      <c r="B30" t="inlineStr">
        <is>
          <t>16_FR_2_2</t>
        </is>
      </c>
      <c r="C30" t="n">
        <v>13.5</v>
      </c>
      <c r="D30" t="n">
        <v>323.67</v>
      </c>
      <c r="E30">
        <f>C30*1000000/(660*D30)</f>
        <v/>
      </c>
      <c r="F30" t="n">
        <v>0.6735118144206886</v>
      </c>
      <c r="G30">
        <f>E30*F30</f>
        <v/>
      </c>
      <c r="H30">
        <f>$C$15*($C$14*A30)/G30</f>
        <v/>
      </c>
      <c r="I30">
        <f>IF(H30&gt;=1,1,MAX(2,ROUNDUP(1/H30,0)))</f>
        <v/>
      </c>
      <c r="J30">
        <f>H30*I30</f>
        <v/>
      </c>
      <c r="K30">
        <f>IF(I30&gt;1,1.5,"")</f>
        <v/>
      </c>
      <c r="L30">
        <f>IF(I30&gt;1,K30*(I30-1),"")</f>
        <v/>
      </c>
      <c r="M30">
        <f>C30*H30</f>
        <v/>
      </c>
    </row>
    <row r="31">
      <c r="A31" t="n">
        <v>0.00633831195947086</v>
      </c>
      <c r="B31" t="inlineStr">
        <is>
          <t>2_FR_1_1</t>
        </is>
      </c>
      <c r="C31" t="n">
        <v>16.8</v>
      </c>
      <c r="D31" t="n">
        <v>411.66</v>
      </c>
      <c r="E31">
        <f>C31*1000000/(660*D31)</f>
        <v/>
      </c>
      <c r="F31" t="n">
        <v>0.6925024860640945</v>
      </c>
      <c r="G31">
        <f>E31*F31</f>
        <v/>
      </c>
      <c r="H31">
        <f>$C$15*($C$14*A31)/G31</f>
        <v/>
      </c>
      <c r="I31">
        <f>IF(H31&gt;=1,1,MAX(2,ROUNDUP(1/H31,0)))</f>
        <v/>
      </c>
      <c r="J31">
        <f>H31*I31</f>
        <v/>
      </c>
      <c r="K31">
        <f>IF(I31&gt;1,1.5,"")</f>
        <v/>
      </c>
      <c r="L31">
        <f>IF(I31&gt;1,K31*(I31-1),"")</f>
        <v/>
      </c>
      <c r="M31">
        <f>C31*H31</f>
        <v/>
      </c>
    </row>
    <row r="32" ht="17.1" customHeight="1">
      <c r="G32" t="inlineStr">
        <is>
          <t>sum</t>
        </is>
      </c>
      <c r="H32">
        <f>SUM(J18:J31)</f>
        <v/>
      </c>
      <c r="I32" s="20" t="n"/>
      <c r="J32" s="21" t="n"/>
      <c r="K32" s="22" t="n"/>
      <c r="L32" s="22" t="n"/>
      <c r="M32" s="23">
        <f>SUM(M18:M31)</f>
        <v/>
      </c>
      <c r="N32">
        <f>K54/I54</f>
        <v/>
      </c>
      <c r="O32" t="inlineStr">
        <is>
          <t>ng/μl</t>
        </is>
      </c>
    </row>
    <row r="33">
      <c r="G33" t="inlineStr">
        <is>
          <t>add Tris</t>
        </is>
      </c>
      <c r="H33">
        <f>$C$15-H32</f>
        <v/>
      </c>
      <c r="I33" s="24" t="n"/>
      <c r="J33" s="25" t="inlineStr">
        <is>
          <t>if &lt;0 pool concentration required</t>
        </is>
      </c>
      <c r="K33" s="22" t="n"/>
      <c r="L33" s="22" t="n"/>
    </row>
    <row r="34">
      <c r="G34" t="inlineStr">
        <is>
          <t>TOTAL</t>
        </is>
      </c>
      <c r="H34">
        <f>SUM(H32:H33)</f>
        <v/>
      </c>
      <c r="I34" s="26" t="n"/>
      <c r="J34" s="27" t="n"/>
      <c r="K34" s="28" t="n"/>
      <c r="L34" s="28" t="n"/>
    </row>
    <row r="41" ht="17.1" customHeight="1"/>
    <row r="56" ht="17.1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10.83" customWidth="1" min="1" max="1"/>
    <col width="33.66" customWidth="1" min="2" max="2"/>
    <col width="10.83" customWidth="1" min="3" max="3"/>
    <col width="13.67" customWidth="1" min="7" max="7"/>
    <col width="10.83" customWidth="1" min="8" max="8"/>
  </cols>
  <sheetData>
    <row r="1" ht="19.7" customHeight="1">
      <c r="A1" s="29" t="inlineStr">
        <is>
          <t>Equimolar pooling for Illumina Sequencing</t>
        </is>
      </c>
    </row>
    <row r="2"/>
    <row r="3" ht="15" customHeight="1">
      <c r="A3" s="30" t="inlineStr">
        <is>
          <t>Complete the tables below to calculate the pool volumes:</t>
        </is>
      </c>
      <c r="B3" s="31" t="n"/>
      <c r="C3" s="31" t="n"/>
      <c r="D3" s="31" t="n"/>
      <c r="E3" s="31" t="n"/>
      <c r="H3" s="31" t="n"/>
      <c r="I3" s="31" t="n"/>
      <c r="J3" s="31" t="n"/>
      <c r="M3" s="31" t="n"/>
    </row>
    <row r="4" ht="15" customHeight="1">
      <c r="A4" s="30" t="n"/>
      <c r="B4" s="31" t="inlineStr">
        <is>
          <t>Insert extra rows to the table as needed</t>
        </is>
      </c>
      <c r="C4" s="31" t="n"/>
      <c r="D4" s="31" t="n"/>
      <c r="E4" s="31" t="n"/>
      <c r="H4" s="31" t="n"/>
      <c r="I4" s="31" t="n"/>
      <c r="J4" s="31" t="n"/>
      <c r="M4" s="31" t="n"/>
    </row>
    <row r="5" ht="15" customHeight="1">
      <c r="A5" s="30" t="n"/>
      <c r="B5" s="31" t="inlineStr">
        <is>
          <t>Adjust the sample number to the number of libraries in the pool (yellow table)</t>
        </is>
      </c>
      <c r="C5" s="31" t="n"/>
      <c r="D5" s="31" t="n"/>
      <c r="E5" s="31" t="n"/>
      <c r="H5" s="31" t="n"/>
      <c r="I5" s="31" t="n"/>
      <c r="J5" s="31" t="n"/>
      <c r="M5" s="31" t="n"/>
    </row>
    <row r="6" ht="15" customHeight="1">
      <c r="A6" s="30" t="n"/>
      <c r="B6" s="31" t="inlineStr">
        <is>
          <t>Adjust the Total Concentration of POOL (nM) and Total Volume of POOL (μl)  (yellow table) depending on your individual library concentrations so that all volumes (green column) are within range</t>
        </is>
      </c>
      <c r="C6" s="31" t="n"/>
      <c r="D6" s="31" t="n"/>
      <c r="E6" s="31" t="n"/>
      <c r="H6" s="31" t="n"/>
      <c r="I6" s="31" t="n"/>
      <c r="J6" s="31" t="n"/>
      <c r="M6" s="31" t="n"/>
    </row>
    <row r="7" ht="15" customHeight="1">
      <c r="A7" s="30" t="n"/>
      <c r="B7" s="31" t="inlineStr">
        <is>
          <t xml:space="preserve">Adjust the dilution factor column (red) to enable accurate pipetting (at least 1 μl for green column) </t>
        </is>
      </c>
      <c r="C7" s="31" t="n"/>
      <c r="D7" s="31" t="n"/>
      <c r="E7" s="31" t="n"/>
      <c r="H7" s="31" t="n"/>
      <c r="I7" s="31" t="n"/>
      <c r="J7" s="31" t="n"/>
      <c r="M7" s="31" t="n"/>
    </row>
    <row r="8" ht="15" customHeight="1">
      <c r="A8" s="30" t="n"/>
      <c r="B8" s="31" t="inlineStr">
        <is>
          <t>If the Sum of the Volume exceeds the total Volume of POOL then concentration with Ampure XP may be required</t>
        </is>
      </c>
      <c r="C8" s="31" t="n"/>
      <c r="D8" s="31" t="n"/>
      <c r="E8" s="31" t="n"/>
      <c r="H8" s="31" t="n"/>
      <c r="I8" s="31" t="n"/>
      <c r="J8" s="31" t="n"/>
      <c r="M8" s="31" t="n"/>
    </row>
    <row r="9" ht="15" customHeight="1">
      <c r="A9" s="30" t="n"/>
      <c r="B9" s="30" t="n"/>
      <c r="C9" s="31" t="n"/>
      <c r="D9" s="31" t="n"/>
      <c r="E9" s="31" t="n"/>
      <c r="H9" s="31" t="n"/>
      <c r="I9" s="31" t="n"/>
      <c r="J9" s="31" t="n"/>
      <c r="M9" s="31" t="n"/>
    </row>
    <row r="10" ht="15" customHeight="1">
      <c r="A10" s="30" t="n"/>
      <c r="B10" s="32" t="inlineStr">
        <is>
          <t>Pool Name</t>
        </is>
      </c>
      <c r="C10" s="33" t="inlineStr">
        <is>
          <t>RNA-seq add-on pool</t>
        </is>
      </c>
      <c r="D10" s="31" t="n"/>
      <c r="E10" s="31" t="n"/>
      <c r="H10" s="31" t="n"/>
      <c r="I10" s="31" t="n"/>
      <c r="J10" s="31" t="n"/>
      <c r="M10" s="31" t="n"/>
    </row>
    <row r="11" ht="15" customHeight="1">
      <c r="A11" s="30" t="n"/>
      <c r="B11" s="34" t="inlineStr">
        <is>
          <t>Number of samples</t>
        </is>
      </c>
      <c r="C11" s="35" t="n">
        <v>16</v>
      </c>
      <c r="D11" s="31" t="inlineStr">
        <is>
          <t>Adjust as needed</t>
        </is>
      </c>
      <c r="E11" s="31" t="n"/>
      <c r="I11" s="36" t="n"/>
      <c r="J11" s="31" t="n"/>
      <c r="M11" s="31" t="n"/>
    </row>
    <row r="12" ht="15" customHeight="1">
      <c r="A12" s="30" t="n"/>
      <c r="B12" s="37" t="inlineStr">
        <is>
          <t>final conc each library in pool</t>
        </is>
      </c>
      <c r="C12" s="38">
        <f>IF($C$11&gt;0,$C$13/$C$11,"n/a")</f>
        <v/>
      </c>
      <c r="D12" s="31" t="inlineStr">
        <is>
          <t>auto calculated</t>
        </is>
      </c>
      <c r="E12" s="31" t="n"/>
      <c r="I12" s="36" t="n"/>
      <c r="J12" s="31" t="n"/>
      <c r="M12" s="31" t="n"/>
    </row>
    <row r="13" ht="15" customHeight="1">
      <c r="A13" s="30" t="n"/>
      <c r="B13" s="39" t="inlineStr">
        <is>
          <t>Total Concentration of POOL (nM)</t>
        </is>
      </c>
      <c r="C13" s="40" t="n">
        <v>30</v>
      </c>
      <c r="D13" s="31" t="inlineStr">
        <is>
          <t>Adjust as needed</t>
        </is>
      </c>
      <c r="E13" s="31" t="n"/>
      <c r="H13" s="31" t="n"/>
      <c r="I13" s="31" t="n"/>
      <c r="J13" s="31" t="n"/>
      <c r="M13" s="31" t="n"/>
    </row>
    <row r="14" ht="15" customHeight="1">
      <c r="A14" s="30" t="n"/>
      <c r="B14" s="41" t="inlineStr">
        <is>
          <t>Total Volume of POOL (μl)</t>
        </is>
      </c>
      <c r="C14" s="42" t="n">
        <v>70</v>
      </c>
      <c r="D14" s="31" t="inlineStr">
        <is>
          <t>Adjust as needed</t>
        </is>
      </c>
      <c r="E14" s="31" t="n"/>
      <c r="H14" s="31" t="n"/>
      <c r="I14" s="31" t="n"/>
      <c r="J14" s="31" t="n"/>
      <c r="M14" s="31" t="n"/>
    </row>
    <row r="15" ht="15" customHeight="1">
      <c r="A15" s="31" t="n"/>
      <c r="B15" s="31" t="n"/>
      <c r="C15" s="31" t="n"/>
      <c r="D15" s="31" t="n"/>
      <c r="E15" s="31" t="n"/>
      <c r="H15" s="31" t="n"/>
      <c r="I15" s="31" t="n"/>
      <c r="J15" s="31" t="n"/>
      <c r="M15" s="31" t="n"/>
    </row>
    <row r="16" ht="36.15" customHeight="1">
      <c r="A16" s="30" t="inlineStr">
        <is>
          <t>proportion_reads_within_pool</t>
        </is>
      </c>
      <c r="B16" s="43" t="inlineStr">
        <is>
          <t>sample name</t>
        </is>
      </c>
      <c r="C16" s="44" t="inlineStr">
        <is>
          <t>Conc undiluted (ng/μl)</t>
        </is>
      </c>
      <c r="D16" s="44" t="inlineStr">
        <is>
          <t>Size (bp)</t>
        </is>
      </c>
      <c r="E16" s="44" t="inlineStr">
        <is>
          <t>Molarity (nM)</t>
        </is>
      </c>
      <c r="F16" t="inlineStr">
        <is>
          <t>Molarity correction factor</t>
        </is>
      </c>
      <c r="G16" t="inlineStr">
        <is>
          <t>Molarity corrected based on previous sequencing (nM)</t>
        </is>
      </c>
      <c r="H16" s="44" t="inlineStr">
        <is>
          <t xml:space="preserve"> Undiluted volume for pool (μl)</t>
        </is>
      </c>
      <c r="I16" s="45" t="inlineStr">
        <is>
          <t>Dilution factor</t>
        </is>
      </c>
      <c r="J16" s="46" t="inlineStr">
        <is>
          <t xml:space="preserve"> Volume for pool (μl)</t>
        </is>
      </c>
      <c r="K16" t="inlineStr">
        <is>
          <t>Volume aliquot undiluted (uL)</t>
        </is>
      </c>
      <c r="L16" t="inlineStr">
        <is>
          <t>Volume of water added to dilute (uL)</t>
        </is>
      </c>
      <c r="M16" s="19" t="inlineStr">
        <is>
          <t>Mass of DNA  (ng)</t>
        </is>
      </c>
    </row>
    <row r="17" ht="15" customHeight="1">
      <c r="A17" t="n">
        <v>0.1487444196025183</v>
      </c>
      <c r="B17" t="inlineStr">
        <is>
          <t>32_FR_4_3</t>
        </is>
      </c>
      <c r="C17" t="n">
        <v>6.05</v>
      </c>
      <c r="D17" t="n">
        <v>324.68</v>
      </c>
      <c r="E17">
        <f>C17*1000000/(660*D17)</f>
        <v/>
      </c>
      <c r="F17" t="n">
        <v>0.7067970971155297</v>
      </c>
      <c r="G17">
        <f>E17*F17</f>
        <v/>
      </c>
      <c r="H17">
        <f>$C$14*($C$13*A17)/G17</f>
        <v/>
      </c>
      <c r="I17">
        <f>IF(H17&gt;=1,1,MAX(2,ROUNDUP(1/H17,0)))</f>
        <v/>
      </c>
      <c r="J17">
        <f>H17*I17</f>
        <v/>
      </c>
      <c r="K17">
        <f>IF(I17&gt;1,1.5,"")</f>
        <v/>
      </c>
      <c r="L17">
        <f>IF(I17&gt;1,K17*(I17-1),"")</f>
        <v/>
      </c>
      <c r="M17">
        <f>C17*H17</f>
        <v/>
      </c>
    </row>
    <row r="18" ht="15" customHeight="1">
      <c r="A18" t="n">
        <v>0.1558729006303454</v>
      </c>
      <c r="B18" t="inlineStr">
        <is>
          <t>10_FR_5_1</t>
        </is>
      </c>
      <c r="C18" t="n">
        <v>5.86</v>
      </c>
      <c r="D18" t="n">
        <v>296.72</v>
      </c>
      <c r="E18">
        <f>C18*1000000/(660*D18)</f>
        <v/>
      </c>
      <c r="F18" t="n">
        <v>0.7684200381833789</v>
      </c>
      <c r="G18">
        <f>E18*F18</f>
        <v/>
      </c>
      <c r="H18">
        <f>$C$14*($C$13*A18)/G18</f>
        <v/>
      </c>
      <c r="I18">
        <f>IF(H18&gt;=1,1,MAX(2,ROUNDUP(1/H18,0)))</f>
        <v/>
      </c>
      <c r="J18">
        <f>H18*I18</f>
        <v/>
      </c>
      <c r="K18">
        <f>IF(I18&gt;1,1.5,"")</f>
        <v/>
      </c>
      <c r="L18">
        <f>IF(I18&gt;1,K18*(I18-1),"")</f>
        <v/>
      </c>
      <c r="M18">
        <f>C18*H18</f>
        <v/>
      </c>
    </row>
    <row r="19" ht="15" customHeight="1">
      <c r="A19" t="n">
        <v>0.1113226963910802</v>
      </c>
      <c r="B19" t="inlineStr">
        <is>
          <t>13_ZI_1_2</t>
        </is>
      </c>
      <c r="C19" t="n">
        <v>10.1</v>
      </c>
      <c r="D19" t="n">
        <v>369.03</v>
      </c>
      <c r="E19">
        <f>C19*1000000/(660*D19)</f>
        <v/>
      </c>
      <c r="F19" t="n">
        <v>0.8814987515857623</v>
      </c>
      <c r="G19">
        <f>E19*F19</f>
        <v/>
      </c>
      <c r="H19">
        <f>$C$14*($C$13*A19)/G19</f>
        <v/>
      </c>
      <c r="I19">
        <f>IF(H19&gt;=1,1,MAX(2,ROUNDUP(1/H19,0)))</f>
        <v/>
      </c>
      <c r="J19">
        <f>H19*I19</f>
        <v/>
      </c>
      <c r="K19">
        <f>IF(I19&gt;1,1.5,"")</f>
        <v/>
      </c>
      <c r="L19">
        <f>IF(I19&gt;1,K19*(I19-1),"")</f>
        <v/>
      </c>
      <c r="M19">
        <f>C19*H19</f>
        <v/>
      </c>
    </row>
    <row r="20" ht="15" customHeight="1">
      <c r="A20" t="n">
        <v>0.09378396108749684</v>
      </c>
      <c r="B20" t="inlineStr">
        <is>
          <t>22_FR_5_2</t>
        </is>
      </c>
      <c r="C20" t="n">
        <v>16.8</v>
      </c>
      <c r="D20" t="n">
        <v>347.82</v>
      </c>
      <c r="E20">
        <f>C20*1000000/(660*D20)</f>
        <v/>
      </c>
      <c r="F20" t="n">
        <v>0.8101339728633397</v>
      </c>
      <c r="G20">
        <f>E20*F20</f>
        <v/>
      </c>
      <c r="H20">
        <f>$C$14*($C$13*A20)/G20</f>
        <v/>
      </c>
      <c r="I20">
        <f>IF(H20&gt;=1,1,MAX(2,ROUNDUP(1/H20,0)))</f>
        <v/>
      </c>
      <c r="J20">
        <f>H20*I20</f>
        <v/>
      </c>
      <c r="K20">
        <f>IF(I20&gt;1,1.5,"")</f>
        <v/>
      </c>
      <c r="L20">
        <f>IF(I20&gt;1,K20*(I20-1),"")</f>
        <v/>
      </c>
      <c r="M20">
        <f>C20*H20</f>
        <v/>
      </c>
    </row>
    <row r="21" ht="15" customHeight="1">
      <c r="A21" t="n">
        <v>0.09993002420147822</v>
      </c>
      <c r="B21" t="inlineStr">
        <is>
          <t>34_FR_5_3</t>
        </is>
      </c>
      <c r="C21" t="n">
        <v>8.869999999999999</v>
      </c>
      <c r="D21" t="n">
        <v>360.81</v>
      </c>
      <c r="E21">
        <f>C21*1000000/(660*D21)</f>
        <v/>
      </c>
      <c r="F21" t="n">
        <v>0.9049868311468839</v>
      </c>
      <c r="G21">
        <f>E21*F21</f>
        <v/>
      </c>
      <c r="H21">
        <f>$C$14*($C$13*A21)/G21</f>
        <v/>
      </c>
      <c r="I21">
        <f>IF(H21&gt;=1,1,MAX(2,ROUNDUP(1/H21,0)))</f>
        <v/>
      </c>
      <c r="J21">
        <f>H21*I21</f>
        <v/>
      </c>
      <c r="K21">
        <f>IF(I21&gt;1,1.5,"")</f>
        <v/>
      </c>
      <c r="L21">
        <f>IF(I21&gt;1,K21*(I21-1),"")</f>
        <v/>
      </c>
      <c r="M21">
        <f>C21*H21</f>
        <v/>
      </c>
    </row>
    <row r="22" ht="15" customHeight="1">
      <c r="A22" t="n">
        <v>0.08913223879290638</v>
      </c>
      <c r="B22" t="inlineStr">
        <is>
          <t>24_FR_6_2</t>
        </is>
      </c>
      <c r="C22" t="n">
        <v>16.1</v>
      </c>
      <c r="D22" t="n">
        <v>360.52</v>
      </c>
      <c r="E22">
        <f>C22*1000000/(660*D22)</f>
        <v/>
      </c>
      <c r="F22" t="n">
        <v>0.8469274658876967</v>
      </c>
      <c r="G22">
        <f>E22*F22</f>
        <v/>
      </c>
      <c r="H22">
        <f>$C$14*($C$13*A22)/G22</f>
        <v/>
      </c>
      <c r="I22">
        <f>IF(H22&gt;=1,1,MAX(2,ROUNDUP(1/H22,0)))</f>
        <v/>
      </c>
      <c r="J22">
        <f>H22*I22</f>
        <v/>
      </c>
      <c r="K22">
        <f>IF(I22&gt;1,1.5,"")</f>
        <v/>
      </c>
      <c r="L22">
        <f>IF(I22&gt;1,K22*(I22-1),"")</f>
        <v/>
      </c>
      <c r="M22">
        <f>C22*H22</f>
        <v/>
      </c>
    </row>
    <row r="23" ht="15" customHeight="1">
      <c r="A23" t="n">
        <v>0.08389957841818241</v>
      </c>
      <c r="B23" t="inlineStr">
        <is>
          <t>31_ZI_4_3</t>
        </is>
      </c>
      <c r="C23" t="n">
        <v>6.22</v>
      </c>
      <c r="D23" t="n">
        <v>339.09</v>
      </c>
      <c r="E23">
        <f>C23*1000000/(660*D23)</f>
        <v/>
      </c>
      <c r="F23" t="n">
        <v>0.9355867126629135</v>
      </c>
      <c r="G23">
        <f>E23*F23</f>
        <v/>
      </c>
      <c r="H23">
        <f>$C$14*($C$13*A23)/G23</f>
        <v/>
      </c>
      <c r="I23">
        <f>IF(H23&gt;=1,1,MAX(2,ROUNDUP(1/H23,0)))</f>
        <v/>
      </c>
      <c r="J23">
        <f>H23*I23</f>
        <v/>
      </c>
      <c r="K23">
        <f>IF(I23&gt;1,1.5,"")</f>
        <v/>
      </c>
      <c r="L23">
        <f>IF(I23&gt;1,K23*(I23-1),"")</f>
        <v/>
      </c>
      <c r="M23">
        <f>C23*H23</f>
        <v/>
      </c>
    </row>
    <row r="24" ht="15" customHeight="1">
      <c r="A24" t="n">
        <v>0.06237642623190835</v>
      </c>
      <c r="B24" t="inlineStr">
        <is>
          <t>19_ZI_4_2</t>
        </is>
      </c>
      <c r="C24" t="n">
        <v>11.7</v>
      </c>
      <c r="D24" t="n">
        <v>332.9</v>
      </c>
      <c r="E24">
        <f>C24*1000000/(660*D24)</f>
        <v/>
      </c>
      <c r="F24" t="n">
        <v>0.8624580094756372</v>
      </c>
      <c r="G24">
        <f>E24*F24</f>
        <v/>
      </c>
      <c r="H24">
        <f>$C$14*($C$13*A24)/G24</f>
        <v/>
      </c>
      <c r="I24">
        <f>IF(H24&gt;=1,1,MAX(2,ROUNDUP(1/H24,0)))</f>
        <v/>
      </c>
      <c r="J24">
        <f>H24*I24</f>
        <v/>
      </c>
      <c r="K24">
        <f>IF(I24&gt;1,1.5,"")</f>
        <v/>
      </c>
      <c r="L24">
        <f>IF(I24&gt;1,K24*(I24-1),"")</f>
        <v/>
      </c>
      <c r="M24">
        <f>C24*H24</f>
        <v/>
      </c>
    </row>
    <row r="25" ht="15" customHeight="1">
      <c r="A25" t="n">
        <v>0.0404652198816921</v>
      </c>
      <c r="B25" t="inlineStr">
        <is>
          <t>33_ZI_5_3</t>
        </is>
      </c>
      <c r="C25" t="n">
        <v>12.2</v>
      </c>
      <c r="D25" t="n">
        <v>342.87</v>
      </c>
      <c r="E25">
        <f>C25*1000000/(660*D25)</f>
        <v/>
      </c>
      <c r="F25" t="n">
        <v>0.9177292806867487</v>
      </c>
      <c r="G25">
        <f>E25*F25</f>
        <v/>
      </c>
      <c r="H25">
        <f>$C$14*($C$13*A25)/G25</f>
        <v/>
      </c>
      <c r="I25">
        <f>IF(H25&gt;=1,1,MAX(2,ROUNDUP(1/H25,0)))</f>
        <v/>
      </c>
      <c r="J25">
        <f>H25*I25</f>
        <v/>
      </c>
      <c r="K25">
        <f>IF(I25&gt;1,1.5,"")</f>
        <v/>
      </c>
      <c r="L25">
        <f>IF(I25&gt;1,K25*(I25-1),"")</f>
        <v/>
      </c>
      <c r="M25">
        <f>C25*H25</f>
        <v/>
      </c>
    </row>
    <row r="26" ht="15" customHeight="1">
      <c r="A26" t="n">
        <v>0.03131485697111478</v>
      </c>
      <c r="B26" t="inlineStr">
        <is>
          <t>12_FR_6_1</t>
        </is>
      </c>
      <c r="C26" t="n">
        <v>17.9</v>
      </c>
      <c r="D26" t="n">
        <v>349.97</v>
      </c>
      <c r="E26">
        <f>C26*1000000/(660*D26)</f>
        <v/>
      </c>
      <c r="F26" t="n">
        <v>0.9010087406019081</v>
      </c>
      <c r="G26">
        <f>E26*F26</f>
        <v/>
      </c>
      <c r="H26">
        <f>$C$14*($C$13*A26)/G26</f>
        <v/>
      </c>
      <c r="I26">
        <f>IF(H26&gt;=1,1,MAX(2,ROUNDUP(1/H26,0)))</f>
        <v/>
      </c>
      <c r="J26">
        <f>H26*I26</f>
        <v/>
      </c>
      <c r="K26">
        <f>IF(I26&gt;1,1.5,"")</f>
        <v/>
      </c>
      <c r="L26">
        <f>IF(I26&gt;1,K26*(I26-1),"")</f>
        <v/>
      </c>
      <c r="M26">
        <f>C26*H26</f>
        <v/>
      </c>
    </row>
    <row r="27" ht="15" customHeight="1">
      <c r="A27" t="n">
        <v>0.02144819737272433</v>
      </c>
      <c r="B27" t="inlineStr">
        <is>
          <t>21_ZI_5_2</t>
        </is>
      </c>
      <c r="C27" t="n">
        <v>12.3</v>
      </c>
      <c r="D27" t="n">
        <v>343.04</v>
      </c>
      <c r="E27">
        <f>C27*1000000/(660*D27)</f>
        <v/>
      </c>
      <c r="F27" t="n">
        <v>0.8829671211980276</v>
      </c>
      <c r="G27">
        <f>E27*F27</f>
        <v/>
      </c>
      <c r="H27">
        <f>$C$14*($C$13*A27)/G27</f>
        <v/>
      </c>
      <c r="I27">
        <f>IF(H27&gt;=1,1,MAX(2,ROUNDUP(1/H27,0)))</f>
        <v/>
      </c>
      <c r="J27">
        <f>H27*I27</f>
        <v/>
      </c>
      <c r="K27">
        <f>IF(I27&gt;1,1.5,"")</f>
        <v/>
      </c>
      <c r="L27">
        <f>IF(I27&gt;1,K27*(I27-1),"")</f>
        <v/>
      </c>
      <c r="M27">
        <f>C27*H27</f>
        <v/>
      </c>
    </row>
    <row r="28" ht="15" customHeight="1">
      <c r="A28" t="n">
        <v>0.02062370604798433</v>
      </c>
      <c r="B28" t="inlineStr">
        <is>
          <t>25_ZI_1_3</t>
        </is>
      </c>
      <c r="C28" t="n">
        <v>4.96</v>
      </c>
      <c r="D28" t="n">
        <v>356.16</v>
      </c>
      <c r="E28">
        <f>C28*1000000/(660*D28)</f>
        <v/>
      </c>
      <c r="F28" t="n">
        <v>1.057559655020399</v>
      </c>
      <c r="G28">
        <f>E28*F28</f>
        <v/>
      </c>
      <c r="H28">
        <f>$C$14*($C$13*A28)/G28</f>
        <v/>
      </c>
      <c r="I28">
        <f>IF(H28&gt;=1,1,MAX(2,ROUNDUP(1/H28,0)))</f>
        <v/>
      </c>
      <c r="J28">
        <f>H28*I28</f>
        <v/>
      </c>
      <c r="K28">
        <f>IF(I28&gt;1,1.5,"")</f>
        <v/>
      </c>
      <c r="L28">
        <f>IF(I28&gt;1,K28*(I28-1),"")</f>
        <v/>
      </c>
      <c r="M28">
        <f>C28*H28</f>
        <v/>
      </c>
    </row>
    <row r="29" ht="15" customHeight="1">
      <c r="A29" t="n">
        <v>0.01147207811398735</v>
      </c>
      <c r="B29" t="inlineStr">
        <is>
          <t>15_ZI_2_2</t>
        </is>
      </c>
      <c r="C29" t="n">
        <v>11.7</v>
      </c>
      <c r="D29" t="n">
        <v>350.92</v>
      </c>
      <c r="E29">
        <f>C29*1000000/(660*D29)</f>
        <v/>
      </c>
      <c r="F29" t="n">
        <v>0.9098181686370557</v>
      </c>
      <c r="G29">
        <f>E29*F29</f>
        <v/>
      </c>
      <c r="H29">
        <f>$C$14*($C$13*A29)/G29</f>
        <v/>
      </c>
      <c r="I29">
        <f>IF(H29&gt;=1,1,MAX(2,ROUNDUP(1/H29,0)))</f>
        <v/>
      </c>
      <c r="J29">
        <f>H29*I29</f>
        <v/>
      </c>
      <c r="K29">
        <f>IF(I29&gt;1,1.5,"")</f>
        <v/>
      </c>
      <c r="L29">
        <f>IF(I29&gt;1,K29*(I29-1),"")</f>
        <v/>
      </c>
      <c r="M29">
        <f>C29*H29</f>
        <v/>
      </c>
    </row>
    <row r="30" ht="15" customHeight="1">
      <c r="A30" t="n">
        <v>0.0134614051195255</v>
      </c>
      <c r="B30" t="inlineStr">
        <is>
          <t>28_FR_2_3</t>
        </is>
      </c>
      <c r="C30" t="n">
        <v>14</v>
      </c>
      <c r="D30" t="n">
        <v>341.96</v>
      </c>
      <c r="E30">
        <f>C30*1000000/(660*D30)</f>
        <v/>
      </c>
      <c r="F30" t="n">
        <v>1.102560834659992</v>
      </c>
      <c r="G30">
        <f>E30*F30</f>
        <v/>
      </c>
      <c r="H30">
        <f>$C$14*($C$13*A30)/G30</f>
        <v/>
      </c>
      <c r="I30">
        <f>IF(H30&gt;=1,1,MAX(2,ROUNDUP(1/H30,0)))</f>
        <v/>
      </c>
      <c r="J30">
        <f>H30*I30</f>
        <v/>
      </c>
      <c r="K30">
        <f>IF(I30&gt;1,1.5,"")</f>
        <v/>
      </c>
      <c r="L30">
        <f>IF(I30&gt;1,K30*(I30-1),"")</f>
        <v/>
      </c>
      <c r="M30">
        <f>C30*H30</f>
        <v/>
      </c>
    </row>
    <row r="31" ht="15" customHeight="1">
      <c r="A31" t="n">
        <v>0.01032623091112536</v>
      </c>
      <c r="B31" t="inlineStr">
        <is>
          <t>35_ZI_6_3</t>
        </is>
      </c>
      <c r="C31" t="n">
        <v>3.85</v>
      </c>
      <c r="D31" t="n">
        <v>350.85</v>
      </c>
      <c r="E31">
        <f>C31*1000000/(660*D31)</f>
        <v/>
      </c>
      <c r="F31" t="n">
        <v>1.016957392088796</v>
      </c>
      <c r="G31">
        <f>E31*F31</f>
        <v/>
      </c>
      <c r="H31">
        <f>$C$14*($C$13*A31)/G31</f>
        <v/>
      </c>
      <c r="I31">
        <f>IF(H31&gt;=1,1,MAX(2,ROUNDUP(1/H31,0)))</f>
        <v/>
      </c>
      <c r="J31">
        <f>H31*I31</f>
        <v/>
      </c>
      <c r="K31">
        <f>IF(I31&gt;1,1.5,"")</f>
        <v/>
      </c>
      <c r="L31">
        <f>IF(I31&gt;1,K31*(I31-1),"")</f>
        <v/>
      </c>
      <c r="M31">
        <f>C31*H31</f>
        <v/>
      </c>
    </row>
    <row r="32" ht="15" customHeight="1">
      <c r="A32" t="n">
        <v>0.005826060225930152</v>
      </c>
      <c r="B32" t="inlineStr">
        <is>
          <t>36_FR_6_3</t>
        </is>
      </c>
      <c r="C32" t="n">
        <v>5.28</v>
      </c>
      <c r="D32" t="n">
        <v>348.69</v>
      </c>
      <c r="E32">
        <f>C32*1000000/(660*D32)</f>
        <v/>
      </c>
      <c r="F32" t="n">
        <v>1.043808257740556</v>
      </c>
      <c r="G32">
        <f>E32*F32</f>
        <v/>
      </c>
      <c r="H32">
        <f>$C$14*($C$13*A32)/G32</f>
        <v/>
      </c>
      <c r="I32">
        <f>IF(H32&gt;=1,1,MAX(2,ROUNDUP(1/H32,0)))</f>
        <v/>
      </c>
      <c r="J32">
        <f>H32*I32</f>
        <v/>
      </c>
      <c r="K32">
        <f>IF(I32&gt;1,1.5,"")</f>
        <v/>
      </c>
      <c r="L32">
        <f>IF(I32&gt;1,K32*(I32-1),"")</f>
        <v/>
      </c>
      <c r="M32">
        <f>C32*H32</f>
        <v/>
      </c>
    </row>
    <row r="33" ht="15" customHeight="1">
      <c r="A33" s="47" t="n"/>
      <c r="E33" s="47" t="n"/>
      <c r="G33" t="inlineStr">
        <is>
          <t>sum</t>
        </is>
      </c>
      <c r="H33" s="30">
        <f>SUM(J17:J32)</f>
        <v/>
      </c>
      <c r="I33" s="48" t="n"/>
      <c r="J33" s="49" t="n"/>
      <c r="M33" s="22">
        <f>SUM(M17:M32)</f>
        <v/>
      </c>
    </row>
    <row r="34" ht="15" customHeight="1">
      <c r="A34" s="47" t="n"/>
      <c r="E34" s="47" t="n"/>
      <c r="G34" t="inlineStr">
        <is>
          <t>add H20</t>
        </is>
      </c>
      <c r="H34" s="30">
        <f>$C$14-H33</f>
        <v/>
      </c>
      <c r="I34" s="50" t="n"/>
      <c r="J34" s="51" t="inlineStr">
        <is>
          <t>if &lt;0 pool concentration required</t>
        </is>
      </c>
      <c r="M34" s="52" t="n"/>
    </row>
    <row r="35" ht="15" customHeight="1">
      <c r="A35" s="47" t="n"/>
      <c r="E35" s="47" t="n"/>
      <c r="G35" t="inlineStr">
        <is>
          <t>TOTAL</t>
        </is>
      </c>
      <c r="H35" s="30">
        <f>SUM(H33:H34)</f>
        <v/>
      </c>
      <c r="I35" s="53" t="n"/>
      <c r="J35" s="54" t="n"/>
      <c r="M35" s="28" t="n"/>
    </row>
    <row r="36" ht="15" customHeight="1">
      <c r="A36" s="31" t="n"/>
      <c r="E36" s="30" t="n"/>
      <c r="G36" t="inlineStr">
        <is>
          <t>Concentration(ng)</t>
        </is>
      </c>
      <c r="H36" s="30">
        <f>SUM(M17:M32)/H35</f>
        <v/>
      </c>
      <c r="I36" s="30" t="n"/>
      <c r="J36" s="55" t="n"/>
      <c r="M36" s="30" t="n"/>
    </row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1048574" ht="12.8" customHeight="1"/>
    <row r="1048575" ht="12.8" customHeight="1"/>
    <row r="1048576" ht="12.8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10.83" customWidth="1" min="1" max="1"/>
    <col width="33.66" customWidth="1" min="2" max="2"/>
    <col width="12.41" customWidth="1" min="3" max="3"/>
    <col width="10.83" customWidth="1" min="4" max="4"/>
    <col width="13.67" customWidth="1" min="7" max="7"/>
    <col width="10.83" customWidth="1" min="8" max="8"/>
  </cols>
  <sheetData>
    <row r="1" ht="19.7" customHeight="1">
      <c r="A1" s="29" t="inlineStr">
        <is>
          <t>Equimolar pooling for Illumina Sequencing</t>
        </is>
      </c>
    </row>
    <row r="2"/>
    <row r="3" ht="15" customHeight="1">
      <c r="A3" s="30" t="inlineStr">
        <is>
          <t>Complete the tables below to calculate the pool volumes:</t>
        </is>
      </c>
      <c r="B3" s="31" t="n"/>
      <c r="C3" s="31" t="n"/>
      <c r="D3" s="31" t="n"/>
      <c r="E3" s="31" t="n"/>
      <c r="H3" s="31" t="n"/>
      <c r="I3" s="31" t="n"/>
      <c r="J3" s="31" t="n"/>
      <c r="M3" s="31" t="n"/>
    </row>
    <row r="4" ht="15" customHeight="1">
      <c r="A4" s="30" t="n"/>
      <c r="B4" s="31" t="inlineStr">
        <is>
          <t>Insert extra rows to the table as needed</t>
        </is>
      </c>
      <c r="C4" s="31" t="n"/>
      <c r="D4" s="31" t="n"/>
      <c r="E4" s="31" t="n"/>
      <c r="H4" s="31" t="n"/>
      <c r="I4" s="31" t="n"/>
      <c r="J4" s="31" t="n"/>
      <c r="M4" s="31" t="n"/>
    </row>
    <row r="5" ht="15" customHeight="1">
      <c r="A5" s="30" t="n"/>
      <c r="B5" s="31" t="inlineStr">
        <is>
          <t>Adjust the sample number to the number of libraries in the pool (yellow table)</t>
        </is>
      </c>
      <c r="C5" s="31" t="n"/>
      <c r="D5" s="31" t="n"/>
      <c r="E5" s="31" t="n"/>
      <c r="H5" s="31" t="n"/>
      <c r="I5" s="31" t="n"/>
      <c r="J5" s="31" t="n"/>
      <c r="M5" s="31" t="n"/>
    </row>
    <row r="6" ht="15" customHeight="1">
      <c r="A6" s="30" t="n"/>
      <c r="B6" s="31" t="inlineStr">
        <is>
          <t>Adjust the Total Concentration of POOL (nM) and Total Volume of POOL (μl)  (yellow table) depending on your individual library concentrations so that all volumes (green column) are within range</t>
        </is>
      </c>
      <c r="C6" s="31" t="n"/>
      <c r="D6" s="31" t="n"/>
      <c r="E6" s="31" t="n"/>
      <c r="H6" s="31" t="n"/>
      <c r="I6" s="31" t="n"/>
      <c r="J6" s="31" t="n"/>
      <c r="M6" s="31" t="n"/>
    </row>
    <row r="7" ht="15" customHeight="1">
      <c r="A7" s="30" t="n"/>
      <c r="B7" s="31" t="inlineStr">
        <is>
          <t xml:space="preserve">Adjust the dilution factor column (red) to enable accurate pipetting (at least 1 μl for green column) </t>
        </is>
      </c>
      <c r="C7" s="31" t="n"/>
      <c r="D7" s="31" t="n"/>
      <c r="E7" s="31" t="n"/>
      <c r="H7" s="31" t="n"/>
      <c r="I7" s="31" t="n"/>
      <c r="J7" s="31" t="n"/>
      <c r="M7" s="31" t="n"/>
    </row>
    <row r="8" ht="15" customHeight="1">
      <c r="A8" s="30" t="n"/>
      <c r="B8" s="31" t="inlineStr">
        <is>
          <t>If the Sum of the Volume exceeds the total Volume of POOL then concentration with Ampure XP may be required</t>
        </is>
      </c>
      <c r="C8" s="31" t="n"/>
      <c r="D8" s="31" t="n"/>
      <c r="E8" s="31" t="n"/>
      <c r="H8" s="31" t="n"/>
      <c r="I8" s="31" t="n"/>
      <c r="J8" s="31" t="n"/>
      <c r="M8" s="31" t="n"/>
    </row>
    <row r="9" ht="15" customHeight="1">
      <c r="A9" s="30" t="n"/>
      <c r="B9" s="30" t="n"/>
      <c r="C9" s="31" t="n"/>
      <c r="D9" s="31" t="n"/>
      <c r="E9" s="31" t="n"/>
      <c r="H9" s="31" t="n"/>
      <c r="I9" s="31" t="n"/>
      <c r="J9" s="31" t="n"/>
      <c r="M9" s="31" t="n"/>
    </row>
    <row r="10" ht="36.15" customHeight="1">
      <c r="A10" s="30" t="n"/>
      <c r="B10" s="32" t="inlineStr">
        <is>
          <t>Pool Name</t>
        </is>
      </c>
      <c r="C10" s="33" t="inlineStr">
        <is>
          <t>sRNA-seq add-on pool</t>
        </is>
      </c>
      <c r="D10" s="31" t="n"/>
      <c r="E10" s="31" t="n"/>
      <c r="H10" s="31" t="n"/>
      <c r="I10" s="31" t="n"/>
      <c r="J10" s="31" t="n"/>
      <c r="M10" s="31" t="n"/>
    </row>
    <row r="11" ht="15" customHeight="1">
      <c r="A11" s="30" t="n"/>
      <c r="B11" s="34" t="inlineStr">
        <is>
          <t>Number of samples</t>
        </is>
      </c>
      <c r="C11" s="35" t="n">
        <v>16</v>
      </c>
      <c r="D11" s="31" t="inlineStr">
        <is>
          <t>Adjust as needed</t>
        </is>
      </c>
      <c r="E11" s="31" t="n"/>
      <c r="I11" s="31" t="n"/>
      <c r="J11" s="31" t="n"/>
      <c r="M11" s="31" t="n"/>
    </row>
    <row r="12" ht="15" customHeight="1">
      <c r="A12" s="30" t="n"/>
      <c r="B12" s="37" t="inlineStr">
        <is>
          <t>final conc each library in pool</t>
        </is>
      </c>
      <c r="C12" s="38">
        <f>IF($C$11&gt;0,$C$13/$C$11,"n/a")</f>
        <v/>
      </c>
      <c r="D12" s="31" t="inlineStr">
        <is>
          <t>auto calculated</t>
        </is>
      </c>
      <c r="E12" s="31" t="n"/>
      <c r="I12" s="31" t="n"/>
      <c r="J12" s="31" t="n"/>
      <c r="M12" s="31" t="n"/>
    </row>
    <row r="13" ht="15" customHeight="1">
      <c r="A13" s="30" t="n"/>
      <c r="B13" s="39" t="inlineStr">
        <is>
          <t>Total Concentration of POOL (nM)</t>
        </is>
      </c>
      <c r="C13" s="40" t="n">
        <v>30</v>
      </c>
      <c r="D13" s="31" t="inlineStr">
        <is>
          <t>Adjust as needed</t>
        </is>
      </c>
      <c r="E13" s="31" t="n"/>
      <c r="H13" s="31" t="n"/>
      <c r="I13" s="31" t="n"/>
      <c r="J13" s="31" t="n"/>
      <c r="M13" s="31" t="n"/>
    </row>
    <row r="14" ht="15" customHeight="1">
      <c r="A14" s="30" t="n"/>
      <c r="B14" s="41" t="inlineStr">
        <is>
          <t>Total Volume of POOL (μl)</t>
        </is>
      </c>
      <c r="C14" s="42" t="n">
        <v>70</v>
      </c>
      <c r="D14" s="31" t="inlineStr">
        <is>
          <t>Adjust as needed</t>
        </is>
      </c>
      <c r="E14" s="31" t="n"/>
      <c r="H14" s="31" t="n"/>
      <c r="I14" s="31" t="n"/>
      <c r="J14" s="31" t="n"/>
      <c r="M14" s="31" t="n"/>
    </row>
    <row r="15" ht="15" customHeight="1">
      <c r="A15" s="31" t="n"/>
      <c r="B15" s="31" t="n"/>
      <c r="C15" s="31" t="n"/>
      <c r="D15" s="31" t="n"/>
      <c r="E15" s="31" t="n"/>
      <c r="H15" s="31" t="n"/>
      <c r="I15" s="31" t="n"/>
      <c r="J15" s="31" t="n"/>
      <c r="M15" s="31" t="n"/>
    </row>
    <row r="16" ht="36.15" customHeight="1">
      <c r="A16" s="30" t="inlineStr">
        <is>
          <t>proportion_reads_within_pool</t>
        </is>
      </c>
      <c r="B16" s="43" t="inlineStr">
        <is>
          <t>sample name</t>
        </is>
      </c>
      <c r="C16" s="44" t="inlineStr">
        <is>
          <t>Conc undiluted (ng/μl)</t>
        </is>
      </c>
      <c r="D16" s="44" t="inlineStr">
        <is>
          <t>Size (bp)</t>
        </is>
      </c>
      <c r="E16" s="44" t="inlineStr">
        <is>
          <t>Molarity (nM)</t>
        </is>
      </c>
      <c r="F16" t="inlineStr">
        <is>
          <t>Molarity correction factor</t>
        </is>
      </c>
      <c r="G16" t="inlineStr">
        <is>
          <t>Molarity corrected based on previous sequencing (nM)</t>
        </is>
      </c>
      <c r="H16" s="44" t="inlineStr">
        <is>
          <t xml:space="preserve"> Undiluted volume for pool (μl)</t>
        </is>
      </c>
      <c r="I16" s="45" t="inlineStr">
        <is>
          <t>Dilution factor</t>
        </is>
      </c>
      <c r="J16" s="46" t="inlineStr">
        <is>
          <t xml:space="preserve"> Volume for pool (μl)</t>
        </is>
      </c>
      <c r="K16" t="inlineStr">
        <is>
          <t>Volume aliquot undiluted (uL)</t>
        </is>
      </c>
      <c r="L16" t="inlineStr">
        <is>
          <t>Volume of water added to dilute (uL)</t>
        </is>
      </c>
      <c r="M16" s="19" t="inlineStr">
        <is>
          <t>Mass of DNA  (ng)</t>
        </is>
      </c>
    </row>
    <row r="17" ht="15" customHeight="1">
      <c r="A17" t="n">
        <v>0.1649509918227498</v>
      </c>
      <c r="B17" t="inlineStr">
        <is>
          <t>34_FR_5_3</t>
        </is>
      </c>
      <c r="C17" t="n">
        <v>7.53</v>
      </c>
      <c r="D17" t="n">
        <v>197.11</v>
      </c>
      <c r="E17">
        <f>C17*1000000/(660*D17)</f>
        <v/>
      </c>
      <c r="F17" t="n">
        <v>0.8150549028564502</v>
      </c>
      <c r="G17">
        <f>E17*F17</f>
        <v/>
      </c>
      <c r="H17">
        <f>$C$14*($C$13*A17)/G17</f>
        <v/>
      </c>
      <c r="I17">
        <f>IF(H17&gt;=1,1,MAX(2,ROUNDUP(1/H17,0)))</f>
        <v/>
      </c>
      <c r="J17">
        <f>H17*I17</f>
        <v/>
      </c>
      <c r="K17">
        <f>IF(I17&gt;1,1.5,"")</f>
        <v/>
      </c>
      <c r="L17">
        <f>IF(I17&gt;1,K17*(I17-1),"")</f>
        <v/>
      </c>
      <c r="M17">
        <f>C17*H17</f>
        <v/>
      </c>
    </row>
    <row r="18" ht="15" customHeight="1">
      <c r="A18" t="n">
        <v>0.2142182509104553</v>
      </c>
      <c r="B18" t="inlineStr">
        <is>
          <t>32_FR_4_3</t>
        </is>
      </c>
      <c r="C18" t="n">
        <v>5.37</v>
      </c>
      <c r="D18" t="n">
        <v>206.53</v>
      </c>
      <c r="E18">
        <f>C18*1000000/(660*D18)</f>
        <v/>
      </c>
      <c r="F18" t="n">
        <v>1.065384077725323</v>
      </c>
      <c r="G18">
        <f>E18*F18</f>
        <v/>
      </c>
      <c r="H18">
        <f>$C$14*($C$13*A18)/G18</f>
        <v/>
      </c>
      <c r="I18">
        <f>IF(H18&gt;=1,1,MAX(2,ROUNDUP(1/H18,0)))</f>
        <v/>
      </c>
      <c r="J18">
        <f>H18*I18</f>
        <v/>
      </c>
      <c r="K18">
        <f>IF(I18&gt;1,1.5,"")</f>
        <v/>
      </c>
      <c r="L18">
        <f>IF(I18&gt;1,K18*(I18-1),"")</f>
        <v/>
      </c>
      <c r="M18">
        <f>C18*H18</f>
        <v/>
      </c>
    </row>
    <row r="19" ht="15" customHeight="1">
      <c r="A19" t="n">
        <v>0.09399552492762139</v>
      </c>
      <c r="B19" t="inlineStr">
        <is>
          <t>26_FR_1_3</t>
        </is>
      </c>
      <c r="C19" t="n">
        <v>4.64</v>
      </c>
      <c r="D19" t="n">
        <v>202.02</v>
      </c>
      <c r="E19">
        <f>C19*1000000/(660*D19)</f>
        <v/>
      </c>
      <c r="F19" t="n">
        <v>0.977866148834134</v>
      </c>
      <c r="G19">
        <f>E19*F19</f>
        <v/>
      </c>
      <c r="H19">
        <f>$C$14*($C$13*A19)/G19</f>
        <v/>
      </c>
      <c r="I19">
        <f>IF(H19&gt;=1,1,MAX(2,ROUNDUP(1/H19,0)))</f>
        <v/>
      </c>
      <c r="J19">
        <f>H19*I19</f>
        <v/>
      </c>
      <c r="K19">
        <f>IF(I19&gt;1,1.5,"")</f>
        <v/>
      </c>
      <c r="L19">
        <f>IF(I19&gt;1,K19*(I19-1),"")</f>
        <v/>
      </c>
      <c r="M19">
        <f>C19*H19</f>
        <v/>
      </c>
    </row>
    <row r="20" ht="15" customHeight="1">
      <c r="A20" t="n">
        <v>0.08053601467616797</v>
      </c>
      <c r="B20" t="inlineStr">
        <is>
          <t>25_ZI_1_3</t>
        </is>
      </c>
      <c r="C20" t="n">
        <v>9.109999999999999</v>
      </c>
      <c r="D20" t="n">
        <v>190.24</v>
      </c>
      <c r="E20">
        <f>C20*1000000/(660*D20)</f>
        <v/>
      </c>
      <c r="F20" t="n">
        <v>0.8892610095643025</v>
      </c>
      <c r="G20">
        <f>E20*F20</f>
        <v/>
      </c>
      <c r="H20">
        <f>$C$14*($C$13*A20)/G20</f>
        <v/>
      </c>
      <c r="I20">
        <f>IF(H20&gt;=1,1,MAX(2,ROUNDUP(1/H20,0)))</f>
        <v/>
      </c>
      <c r="J20">
        <f>H20*I20</f>
        <v/>
      </c>
      <c r="K20">
        <f>IF(I20&gt;1,1.5,"")</f>
        <v/>
      </c>
      <c r="L20">
        <f>IF(I20&gt;1,K20*(I20-1),"")</f>
        <v/>
      </c>
      <c r="M20">
        <f>C20*H20</f>
        <v/>
      </c>
    </row>
    <row r="21" ht="15" customHeight="1">
      <c r="A21" t="n">
        <v>0.06482524332898389</v>
      </c>
      <c r="B21" t="inlineStr">
        <is>
          <t>22_FR_5_2</t>
        </is>
      </c>
      <c r="C21" t="n">
        <v>6.32</v>
      </c>
      <c r="D21" t="n">
        <v>176.6</v>
      </c>
      <c r="E21">
        <f>C21*1000000/(660*D21)</f>
        <v/>
      </c>
      <c r="F21" t="n">
        <v>0.7705875934593516</v>
      </c>
      <c r="G21">
        <f>E21*F21</f>
        <v/>
      </c>
      <c r="H21">
        <f>$C$14*($C$13*A21)/G21</f>
        <v/>
      </c>
      <c r="I21">
        <f>IF(H21&gt;=1,1,MAX(2,ROUNDUP(1/H21,0)))</f>
        <v/>
      </c>
      <c r="J21">
        <f>H21*I21</f>
        <v/>
      </c>
      <c r="K21">
        <f>IF(I21&gt;1,1.5,"")</f>
        <v/>
      </c>
      <c r="L21">
        <f>IF(I21&gt;1,K21*(I21-1),"")</f>
        <v/>
      </c>
      <c r="M21">
        <f>C21*H21</f>
        <v/>
      </c>
    </row>
    <row r="22" ht="15" customHeight="1">
      <c r="A22" t="n">
        <v>0.05154015399192347</v>
      </c>
      <c r="B22" t="inlineStr">
        <is>
          <t>19_ZI_4_2</t>
        </is>
      </c>
      <c r="C22" t="n">
        <v>5.49</v>
      </c>
      <c r="D22" t="n">
        <v>179.49</v>
      </c>
      <c r="E22">
        <f>C22*1000000/(660*D22)</f>
        <v/>
      </c>
      <c r="F22" t="n">
        <v>0.7530307401164053</v>
      </c>
      <c r="G22">
        <f>E22*F22</f>
        <v/>
      </c>
      <c r="H22">
        <f>$C$14*($C$13*A22)/G22</f>
        <v/>
      </c>
      <c r="I22">
        <f>IF(H22&gt;=1,1,MAX(2,ROUNDUP(1/H22,0)))</f>
        <v/>
      </c>
      <c r="J22">
        <f>H22*I22</f>
        <v/>
      </c>
      <c r="K22">
        <f>IF(I22&gt;1,1.5,"")</f>
        <v/>
      </c>
      <c r="L22">
        <f>IF(I22&gt;1,K22*(I22-1),"")</f>
        <v/>
      </c>
      <c r="M22">
        <f>C22*H22</f>
        <v/>
      </c>
    </row>
    <row r="23" ht="15" customHeight="1">
      <c r="A23" t="n">
        <v>0.05229984207156319</v>
      </c>
      <c r="B23" t="inlineStr">
        <is>
          <t>21_ZI_5_2</t>
        </is>
      </c>
      <c r="C23" t="n">
        <v>7.32</v>
      </c>
      <c r="D23" t="n">
        <v>190.1</v>
      </c>
      <c r="E23">
        <f>C23*1000000/(660*D23)</f>
        <v/>
      </c>
      <c r="F23" t="n">
        <v>0.8621294865203214</v>
      </c>
      <c r="G23">
        <f>E23*F23</f>
        <v/>
      </c>
      <c r="H23">
        <f>$C$14*($C$13*A23)/G23</f>
        <v/>
      </c>
      <c r="I23">
        <f>IF(H23&gt;=1,1,MAX(2,ROUNDUP(1/H23,0)))</f>
        <v/>
      </c>
      <c r="J23">
        <f>H23*I23</f>
        <v/>
      </c>
      <c r="K23">
        <f>IF(I23&gt;1,1.5,"")</f>
        <v/>
      </c>
      <c r="L23">
        <f>IF(I23&gt;1,K23*(I23-1),"")</f>
        <v/>
      </c>
      <c r="M23">
        <f>C23*H23</f>
        <v/>
      </c>
    </row>
    <row r="24" ht="15" customHeight="1">
      <c r="A24" t="n">
        <v>0.05519393604477116</v>
      </c>
      <c r="B24" t="inlineStr">
        <is>
          <t>13_ZI_1_2</t>
        </is>
      </c>
      <c r="C24" t="n">
        <v>5.92</v>
      </c>
      <c r="D24" t="n">
        <v>193.75</v>
      </c>
      <c r="E24">
        <f>C24*1000000/(660*D24)</f>
        <v/>
      </c>
      <c r="F24" t="n">
        <v>0.9691385846191896</v>
      </c>
      <c r="G24">
        <f>E24*F24</f>
        <v/>
      </c>
      <c r="H24">
        <f>$C$14*($C$13*A24)/G24</f>
        <v/>
      </c>
      <c r="I24">
        <f>IF(H24&gt;=1,1,MAX(2,ROUNDUP(1/H24,0)))</f>
        <v/>
      </c>
      <c r="J24">
        <f>H24*I24</f>
        <v/>
      </c>
      <c r="K24">
        <f>IF(I24&gt;1,1.5,"")</f>
        <v/>
      </c>
      <c r="L24">
        <f>IF(I24&gt;1,K24*(I24-1),"")</f>
        <v/>
      </c>
      <c r="M24">
        <f>C24*H24</f>
        <v/>
      </c>
    </row>
    <row r="25" ht="15" customHeight="1">
      <c r="A25" t="n">
        <v>0.03970647456590474</v>
      </c>
      <c r="B25" t="inlineStr">
        <is>
          <t>15_ZI_2_2</t>
        </is>
      </c>
      <c r="C25" t="n">
        <v>5.54</v>
      </c>
      <c r="D25" t="n">
        <v>198.35</v>
      </c>
      <c r="E25">
        <f>C25*1000000/(660*D25)</f>
        <v/>
      </c>
      <c r="F25" t="n">
        <v>0.8929978829728703</v>
      </c>
      <c r="G25">
        <f>E25*F25</f>
        <v/>
      </c>
      <c r="H25">
        <f>$C$14*($C$13*A25)/G25</f>
        <v/>
      </c>
      <c r="I25">
        <f>IF(H25&gt;=1,1,MAX(2,ROUNDUP(1/H25,0)))</f>
        <v/>
      </c>
      <c r="J25">
        <f>H25*I25</f>
        <v/>
      </c>
      <c r="K25">
        <f>IF(I25&gt;1,1.5,"")</f>
        <v/>
      </c>
      <c r="L25">
        <f>IF(I25&gt;1,K25*(I25-1),"")</f>
        <v/>
      </c>
      <c r="M25">
        <f>C25*H25</f>
        <v/>
      </c>
    </row>
    <row r="26" ht="15" customHeight="1">
      <c r="A26" t="n">
        <v>0.03795658358180477</v>
      </c>
      <c r="B26" t="inlineStr">
        <is>
          <t>17_ZI_3_2</t>
        </is>
      </c>
      <c r="C26" t="n">
        <v>5.9</v>
      </c>
      <c r="D26" t="n">
        <v>200.22</v>
      </c>
      <c r="E26">
        <f>C26*1000000/(660*D26)</f>
        <v/>
      </c>
      <c r="F26" t="n">
        <v>0.8786445017996971</v>
      </c>
      <c r="G26">
        <f>E26*F26</f>
        <v/>
      </c>
      <c r="H26">
        <f>$C$14*($C$13*A26)/G26</f>
        <v/>
      </c>
      <c r="I26">
        <f>IF(H26&gt;=1,1,MAX(2,ROUNDUP(1/H26,0)))</f>
        <v/>
      </c>
      <c r="J26">
        <f>H26*I26</f>
        <v/>
      </c>
      <c r="K26">
        <f>IF(I26&gt;1,1.5,"")</f>
        <v/>
      </c>
      <c r="L26">
        <f>IF(I26&gt;1,K26*(I26-1),"")</f>
        <v/>
      </c>
      <c r="M26">
        <f>C26*H26</f>
        <v/>
      </c>
    </row>
    <row r="27" ht="15" customHeight="1">
      <c r="A27" t="n">
        <v>0.03093527958875452</v>
      </c>
      <c r="B27" t="inlineStr">
        <is>
          <t>33_ZI_5_3</t>
        </is>
      </c>
      <c r="C27" t="n">
        <v>12.5</v>
      </c>
      <c r="D27" t="n">
        <v>212.04</v>
      </c>
      <c r="E27">
        <f>C27*1000000/(660*D27)</f>
        <v/>
      </c>
      <c r="F27" t="n">
        <v>1.074516446002459</v>
      </c>
      <c r="G27">
        <f>E27*F27</f>
        <v/>
      </c>
      <c r="H27">
        <f>$C$14*($C$13*A27)/G27</f>
        <v/>
      </c>
      <c r="I27">
        <f>IF(H27&gt;=1,1,MAX(2,ROUNDUP(1/H27,0)))</f>
        <v/>
      </c>
      <c r="J27">
        <f>H27*I27</f>
        <v/>
      </c>
      <c r="K27">
        <f>IF(I27&gt;1,1.5,"")</f>
        <v/>
      </c>
      <c r="L27">
        <f>IF(I27&gt;1,K27*(I27-1),"")</f>
        <v/>
      </c>
      <c r="M27">
        <f>C27*H27</f>
        <v/>
      </c>
    </row>
    <row r="28" ht="15" customHeight="1">
      <c r="A28" t="n">
        <v>0.02780010392034571</v>
      </c>
      <c r="B28" t="inlineStr">
        <is>
          <t>14_FR_1_2</t>
        </is>
      </c>
      <c r="C28" t="n">
        <v>3.82</v>
      </c>
      <c r="D28" t="n">
        <v>210.46</v>
      </c>
      <c r="E28">
        <f>C28*1000000/(660*D28)</f>
        <v/>
      </c>
      <c r="F28" t="n">
        <v>1.044815486015961</v>
      </c>
      <c r="G28">
        <f>E28*F28</f>
        <v/>
      </c>
      <c r="H28">
        <f>$C$14*($C$13*A28)/G28</f>
        <v/>
      </c>
      <c r="I28">
        <f>IF(H28&gt;=1,1,MAX(2,ROUNDUP(1/H28,0)))</f>
        <v/>
      </c>
      <c r="J28">
        <f>H28*I28</f>
        <v/>
      </c>
      <c r="K28">
        <f>IF(I28&gt;1,1.5,"")</f>
        <v/>
      </c>
      <c r="L28">
        <f>IF(I28&gt;1,K28*(I28-1),"")</f>
        <v/>
      </c>
      <c r="M28">
        <f>C28*H28</f>
        <v/>
      </c>
    </row>
    <row r="29" ht="15" customHeight="1">
      <c r="A29" t="n">
        <v>0.02729395387513408</v>
      </c>
      <c r="B29" t="inlineStr">
        <is>
          <t>31_ZI_4_3</t>
        </is>
      </c>
      <c r="C29" t="n">
        <v>4.38</v>
      </c>
      <c r="D29" t="n">
        <v>213.39</v>
      </c>
      <c r="E29">
        <f>C29*1000000/(660*D29)</f>
        <v/>
      </c>
      <c r="F29" t="n">
        <v>1.029398022065587</v>
      </c>
      <c r="G29">
        <f>E29*F29</f>
        <v/>
      </c>
      <c r="H29">
        <f>$C$14*($C$13*A29)/G29</f>
        <v/>
      </c>
      <c r="I29">
        <f>IF(H29&gt;=1,1,MAX(2,ROUNDUP(1/H29,0)))</f>
        <v/>
      </c>
      <c r="J29">
        <f>H29*I29</f>
        <v/>
      </c>
      <c r="K29">
        <f>IF(I29&gt;1,1.5,"")</f>
        <v/>
      </c>
      <c r="L29">
        <f>IF(I29&gt;1,K29*(I29-1),"")</f>
        <v/>
      </c>
      <c r="M29">
        <f>C29*H29</f>
        <v/>
      </c>
    </row>
    <row r="30" ht="15" customHeight="1">
      <c r="A30" t="n">
        <v>0.02912021418605194</v>
      </c>
      <c r="B30" t="inlineStr">
        <is>
          <t>28_FR_2_3</t>
        </is>
      </c>
      <c r="C30" t="n">
        <v>6.04</v>
      </c>
      <c r="D30" t="n">
        <v>247.96</v>
      </c>
      <c r="E30">
        <f>C30*1000000/(660*D30)</f>
        <v/>
      </c>
      <c r="F30" t="n">
        <v>1.121952607744168</v>
      </c>
      <c r="G30">
        <f>E30*F30</f>
        <v/>
      </c>
      <c r="H30">
        <f>$C$14*($C$13*A30)/G30</f>
        <v/>
      </c>
      <c r="I30">
        <f>IF(H30&gt;=1,1,MAX(2,ROUNDUP(1/H30,0)))</f>
        <v/>
      </c>
      <c r="J30">
        <f>H30*I30</f>
        <v/>
      </c>
      <c r="K30">
        <f>IF(I30&gt;1,1.5,"")</f>
        <v/>
      </c>
      <c r="L30">
        <f>IF(I30&gt;1,K30*(I30-1),"")</f>
        <v/>
      </c>
      <c r="M30">
        <f>C30*H30</f>
        <v/>
      </c>
    </row>
    <row r="31" ht="15" customHeight="1">
      <c r="A31" t="n">
        <v>0.01537232155871728</v>
      </c>
      <c r="B31" t="inlineStr">
        <is>
          <t>18_FR_3_2</t>
        </is>
      </c>
      <c r="C31" t="n">
        <v>5.77</v>
      </c>
      <c r="D31" t="n">
        <v>189.43</v>
      </c>
      <c r="E31">
        <f>C31*1000000/(660*D31)</f>
        <v/>
      </c>
      <c r="F31" t="n">
        <v>0.8425381602865624</v>
      </c>
      <c r="G31">
        <f>E31*F31</f>
        <v/>
      </c>
      <c r="H31">
        <f>$C$14*($C$13*A31)/G31</f>
        <v/>
      </c>
      <c r="I31">
        <f>IF(H31&gt;=1,1,MAX(2,ROUNDUP(1/H31,0)))</f>
        <v/>
      </c>
      <c r="J31">
        <f>H31*I31</f>
        <v/>
      </c>
      <c r="K31">
        <f>IF(I31&gt;1,1.5,"")</f>
        <v/>
      </c>
      <c r="L31">
        <f>IF(I31&gt;1,K31*(I31-1),"")</f>
        <v/>
      </c>
      <c r="M31">
        <f>C31*H31</f>
        <v/>
      </c>
    </row>
    <row r="32" ht="15" customHeight="1">
      <c r="A32" t="n">
        <v>0.01425511094905086</v>
      </c>
      <c r="B32" t="inlineStr">
        <is>
          <t>2_FR_1_1</t>
        </is>
      </c>
      <c r="C32" t="n">
        <v>3.26</v>
      </c>
      <c r="D32" t="n">
        <v>208.71</v>
      </c>
      <c r="E32">
        <f>C32*1000000/(660*D32)</f>
        <v/>
      </c>
      <c r="F32" t="n">
        <v>0.9861060951248548</v>
      </c>
      <c r="G32">
        <f>E32*F32</f>
        <v/>
      </c>
      <c r="H32">
        <f>$C$14*($C$13*A32)/G32</f>
        <v/>
      </c>
      <c r="I32">
        <f>IF(H32&gt;=1,1,MAX(2,ROUNDUP(1/H32,0)))</f>
        <v/>
      </c>
      <c r="J32">
        <f>H32*I32</f>
        <v/>
      </c>
      <c r="K32">
        <f>IF(I32&gt;1,1.5,"")</f>
        <v/>
      </c>
      <c r="L32">
        <f>IF(I32&gt;1,K32*(I32-1),"")</f>
        <v/>
      </c>
      <c r="M32">
        <f>C32*H32</f>
        <v/>
      </c>
    </row>
    <row r="33" ht="15" customHeight="1">
      <c r="A33" s="47" t="n"/>
      <c r="E33" s="47" t="n"/>
      <c r="G33" t="inlineStr">
        <is>
          <t>sum</t>
        </is>
      </c>
      <c r="H33" s="30">
        <f>SUM(J17:J32)</f>
        <v/>
      </c>
      <c r="I33" s="48" t="n"/>
      <c r="J33" s="49" t="n"/>
      <c r="M33" s="22">
        <f>SUM(M17:M32)</f>
        <v/>
      </c>
    </row>
    <row r="34" ht="15" customHeight="1">
      <c r="A34" s="47" t="n"/>
      <c r="E34" s="47" t="n"/>
      <c r="G34" t="inlineStr">
        <is>
          <t>add H20</t>
        </is>
      </c>
      <c r="H34" s="30">
        <f>$C$14-H33</f>
        <v/>
      </c>
      <c r="I34" s="50" t="n"/>
      <c r="J34" s="51" t="inlineStr">
        <is>
          <t>if &lt;0 pool concentration required</t>
        </is>
      </c>
      <c r="M34" s="52" t="n"/>
    </row>
    <row r="35" ht="15" customHeight="1">
      <c r="A35" s="47" t="n"/>
      <c r="E35" s="47" t="n"/>
      <c r="G35" t="inlineStr">
        <is>
          <t>TOTAL</t>
        </is>
      </c>
      <c r="H35" s="30">
        <f>SUM(H33:H34)</f>
        <v/>
      </c>
      <c r="I35" s="53" t="n"/>
      <c r="J35" s="54" t="n"/>
      <c r="M35" s="28" t="n"/>
    </row>
    <row r="36" ht="15" customHeight="1">
      <c r="A36" s="31" t="n"/>
      <c r="E36" s="30" t="n"/>
      <c r="G36" t="inlineStr">
        <is>
          <t>Concentration(ng)</t>
        </is>
      </c>
      <c r="H36" s="30">
        <f>SUM(M17:M32)/H35</f>
        <v/>
      </c>
      <c r="I36" s="30" t="n"/>
      <c r="J36" s="55" t="n"/>
      <c r="M36" s="30" t="n"/>
    </row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1048574" ht="12.8" customHeight="1"/>
    <row r="1048575" ht="12.8" customHeight="1"/>
    <row r="1048576" ht="12.8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2026-04-02T20:18:56Z</dcterms:created>
  <dcterms:modified xsi:type="dcterms:W3CDTF">2026-04-02T20:18:57Z</dcterms:modified>
</cp:coreProperties>
</file>