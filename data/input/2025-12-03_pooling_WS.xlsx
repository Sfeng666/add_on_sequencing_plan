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NA" sheetId="1" state="visible" r:id="rId2"/>
    <sheet name="small RN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<sst xmlns="http://schemas.openxmlformats.org/spreadsheetml/2006/main" count="226" uniqueCount="113">
  <si>
    <t xml:space="preserve">Equimolar pooling for Illumina Sequencing</t>
  </si>
  <si>
    <t xml:space="preserve">Complete the tables below to calculate the pool volumes:</t>
  </si>
  <si>
    <t xml:space="preserve">Insert extra rows to the table as needed</t>
  </si>
  <si>
    <t xml:space="preserve">Adjust the sample number to the number of libraries in the pool (yellow table)</t>
  </si>
  <si>
    <t xml:space="preserve">Adjust the Total Concentration of POOL (nM) and Total Volume of POOL (μl)  (yellow table) depending on your individual library concentrations so that all volumes (green column) are within range</t>
  </si>
  <si>
    <t xml:space="preserve">Adjust the dilution factor column (red) to enable accurate pipetting (at least 1 μl for green column) </t>
  </si>
  <si>
    <t xml:space="preserve">If the Sum of the Volume exceeds the total Volume of POOL then concentration with Ampure XP may be required</t>
  </si>
  <si>
    <t xml:space="preserve">Pool Name</t>
  </si>
  <si>
    <t xml:space="preserve">10Nov25-1</t>
  </si>
  <si>
    <t xml:space="preserve">Number of samples</t>
  </si>
  <si>
    <t xml:space="preserve">Adjust as needed</t>
  </si>
  <si>
    <t xml:space="preserve">Min sample V</t>
  </si>
  <si>
    <t xml:space="preserve">final conc each library in pool</t>
  </si>
  <si>
    <t xml:space="preserve">auto calculated</t>
  </si>
  <si>
    <t xml:space="preserve">Max sample V</t>
  </si>
  <si>
    <t xml:space="preserve">Total Concentration of POOL (nM)</t>
  </si>
  <si>
    <t xml:space="preserve">Total Volume of POOL (μl)</t>
  </si>
  <si>
    <t xml:space="preserve">sample name</t>
  </si>
  <si>
    <t xml:space="preserve">Conc undiluted (ng/μl)</t>
  </si>
  <si>
    <t xml:space="preserve">Size (bp)</t>
  </si>
  <si>
    <t xml:space="preserve">Molarity (nM)</t>
  </si>
  <si>
    <t xml:space="preserve"> Undiluted volume for pool (μl)</t>
  </si>
  <si>
    <t xml:space="preserve">Tube/Well</t>
  </si>
  <si>
    <t xml:space="preserve">Dilution factor</t>
  </si>
  <si>
    <t xml:space="preserve"> Volume for pool (μl)</t>
  </si>
  <si>
    <t xml:space="preserve">Mass added (ng)</t>
  </si>
  <si>
    <t xml:space="preserve">Sample</t>
  </si>
  <si>
    <t xml:space="preserve">Water</t>
  </si>
  <si>
    <t xml:space="preserve">9Nov25-1</t>
  </si>
  <si>
    <t xml:space="preserve">A1</t>
  </si>
  <si>
    <t xml:space="preserve">20Nov25-2</t>
  </si>
  <si>
    <t xml:space="preserve">9Nov25-3</t>
  </si>
  <si>
    <t xml:space="preserve">9Nov25-4</t>
  </si>
  <si>
    <t xml:space="preserve">9Nov25-5</t>
  </si>
  <si>
    <t xml:space="preserve">9Nov25-6</t>
  </si>
  <si>
    <t xml:space="preserve">9Nov25-7</t>
  </si>
  <si>
    <t xml:space="preserve">9Nov25-8</t>
  </si>
  <si>
    <t xml:space="preserve">20Nov25-9</t>
  </si>
  <si>
    <t xml:space="preserve">20Nov25-10</t>
  </si>
  <si>
    <t xml:space="preserve">20Nov25-11</t>
  </si>
  <si>
    <t xml:space="preserve">20Nov25-12</t>
  </si>
  <si>
    <t xml:space="preserve">20Nov25-13</t>
  </si>
  <si>
    <t xml:space="preserve">20Nov25-14</t>
  </si>
  <si>
    <t xml:space="preserve">20Nov25-15</t>
  </si>
  <si>
    <t xml:space="preserve">20Nov25-16</t>
  </si>
  <si>
    <t xml:space="preserve">20Nov25-17</t>
  </si>
  <si>
    <t xml:space="preserve">20Nov25-18</t>
  </si>
  <si>
    <t xml:space="preserve">20Nov25-19</t>
  </si>
  <si>
    <t xml:space="preserve">20Nov25-20</t>
  </si>
  <si>
    <t xml:space="preserve">20Nov25-21</t>
  </si>
  <si>
    <t xml:space="preserve">20Nov25-22</t>
  </si>
  <si>
    <t xml:space="preserve">20Nov25-23</t>
  </si>
  <si>
    <t xml:space="preserve">20Nov25-24</t>
  </si>
  <si>
    <t xml:space="preserve">20Nov25-25</t>
  </si>
  <si>
    <t xml:space="preserve">20Nov25-26</t>
  </si>
  <si>
    <t xml:space="preserve">20Nov25-27</t>
  </si>
  <si>
    <t xml:space="preserve">20Nov25-28</t>
  </si>
  <si>
    <t xml:space="preserve">20Nov25-29</t>
  </si>
  <si>
    <t xml:space="preserve">20Nov25-30</t>
  </si>
  <si>
    <t xml:space="preserve">20Nov25-31</t>
  </si>
  <si>
    <t xml:space="preserve">20Nov25-32</t>
  </si>
  <si>
    <t xml:space="preserve">20Nov25-33</t>
  </si>
  <si>
    <t xml:space="preserve">20Nov25-34</t>
  </si>
  <si>
    <t xml:space="preserve">20Nov25-35</t>
  </si>
  <si>
    <t xml:space="preserve">20Nov25-36</t>
  </si>
  <si>
    <t xml:space="preserve">sum</t>
  </si>
  <si>
    <t xml:space="preserve">add H20</t>
  </si>
  <si>
    <t xml:space="preserve">if &lt;0 pool concentration required</t>
  </si>
  <si>
    <t xml:space="preserve">TOTAL</t>
  </si>
  <si>
    <t xml:space="preserve">Concentration(ng)</t>
  </si>
  <si>
    <t xml:space="preserve">20251206_CTMO_small RNA</t>
  </si>
  <si>
    <t xml:space="preserve">11Nov25-1-sRNA-ZI_1_1</t>
  </si>
  <si>
    <t xml:space="preserve">11Nov25-2-sRNA-FR_1_1</t>
  </si>
  <si>
    <t xml:space="preserve">11Nov25-3-sRNA-ZI_2_1</t>
  </si>
  <si>
    <t xml:space="preserve">11Nov25-4-sRNA-FR_2_1</t>
  </si>
  <si>
    <t xml:space="preserve">11Nov25-5-sRNA-ZI_3_1</t>
  </si>
  <si>
    <t xml:space="preserve">11Nov25-5</t>
  </si>
  <si>
    <t xml:space="preserve">11Nov25-6-sRNA-FR_3_1</t>
  </si>
  <si>
    <t xml:space="preserve">11Nov25-7-sRNA-ZI_4_1</t>
  </si>
  <si>
    <t xml:space="preserve">11Nov25-8-sRNA-FR_4_1</t>
  </si>
  <si>
    <t xml:space="preserve">11Nov25-9-sRNA-ZI_5_1</t>
  </si>
  <si>
    <t xml:space="preserve">11Nov25-10-sRNA-FR_5_1</t>
  </si>
  <si>
    <t xml:space="preserve">11Nov25-11-sRNA-ZI_6_1</t>
  </si>
  <si>
    <t xml:space="preserve">11Nov25-12-sRNA-FR_6_1</t>
  </si>
  <si>
    <t xml:space="preserve">17Nov25-13-sRNA-ZI_1_2</t>
  </si>
  <si>
    <t xml:space="preserve">17Nov25-14-sRNA-FR_1_2</t>
  </si>
  <si>
    <t xml:space="preserve">17Nov25-15-sRNA-ZI_2_2</t>
  </si>
  <si>
    <t xml:space="preserve">17Nov25-16-sRNA-FR_2_2</t>
  </si>
  <si>
    <t xml:space="preserve">17Nov25-17-sRNA-ZI_3_2</t>
  </si>
  <si>
    <t xml:space="preserve">17Nov25-18-sRNA-FR_3_2</t>
  </si>
  <si>
    <t xml:space="preserve">17Nov25-19-sRNA-ZI_4_2</t>
  </si>
  <si>
    <t xml:space="preserve">17Nov25-20-sRNA-FR_4_2</t>
  </si>
  <si>
    <t xml:space="preserve">17Nov25-21-sRNA-ZI_5_2</t>
  </si>
  <si>
    <t xml:space="preserve">17Nov25-22-sRNA-FR_5_2</t>
  </si>
  <si>
    <t xml:space="preserve">17Nov25-23-sRNA-ZI_6_2</t>
  </si>
  <si>
    <t xml:space="preserve">17Nov25-22</t>
  </si>
  <si>
    <t xml:space="preserve">17Nov25-24-sRNA-FR_6_2</t>
  </si>
  <si>
    <t xml:space="preserve">17Nov25-24</t>
  </si>
  <si>
    <t xml:space="preserve">17Nov25-25-sRNA-ZI_1_3</t>
  </si>
  <si>
    <t xml:space="preserve">17Nov25-25</t>
  </si>
  <si>
    <t xml:space="preserve">17Nov25-26-sRNA-FR_1_3</t>
  </si>
  <si>
    <t xml:space="preserve">17Nov25-27-sRNA-ZI_2_3</t>
  </si>
  <si>
    <t xml:space="preserve">17Nov25-28-sRNA-FR_2_3</t>
  </si>
  <si>
    <t xml:space="preserve">17Nov25-29-sRNA-ZI_3_3</t>
  </si>
  <si>
    <t xml:space="preserve">17Nov25-30-sRNA-FR_3_3</t>
  </si>
  <si>
    <t xml:space="preserve">17Nov25-31-sRNA-ZI_4_3</t>
  </si>
  <si>
    <t xml:space="preserve">17Nov25-32-sRNA-FR_4_3</t>
  </si>
  <si>
    <t xml:space="preserve">17Nov25-33-sRNA-ZI_5_3</t>
  </si>
  <si>
    <t xml:space="preserve">17Nov25-33</t>
  </si>
  <si>
    <t xml:space="preserve">17Nov25-34-sRNA-FR_5_3</t>
  </si>
  <si>
    <t xml:space="preserve">17Nov25-35-sRNA-ZI_6_3</t>
  </si>
  <si>
    <t xml:space="preserve">17Nov25-36-sRNA-FR_6_3</t>
  </si>
  <si>
    <t xml:space="preserve">17Nov25-36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</si>
</sst>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General"/>
    <numFmt numFmtId="167" formatCode="#,##0.00"/>
  </numFmts>
  <fonts count="12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2"/>
      <charset val="1"/>
    </font>
    <font>
      <sz val="12"/>
      <name val="Calibri"/>
      <family val="2"/>
      <charset val="1"/>
    </font>
    <font>
      <b val="true"/>
      <sz val="12"/>
      <name val="Calibri"/>
      <family val="2"/>
      <charset val="1"/>
    </font>
    <font>
      <sz val="12"/>
      <color rgb="FF9C57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006100"/>
      <name val="Calibri"/>
      <family val="2"/>
      <charset val="1"/>
    </font>
    <font>
      <b val="true"/>
      <sz val="12"/>
      <color rgb="FF006100"/>
      <name val="Calibri"/>
      <family val="2"/>
      <charset val="1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  <bgColor rgb="FFFFE699"/>
      </patternFill>
    </fill>
    <fill>
      <patternFill patternType="solid">
        <fgColor rgb="FFC6EFCE"/>
        <bgColor rgb="FFC5E0B4"/>
      </patternFill>
    </fill>
    <fill>
      <patternFill patternType="solid">
        <fgColor rgb="FFD9D9D9"/>
        <bgColor rgb="FFC5E0B4"/>
      </patternFill>
    </fill>
    <fill>
      <patternFill patternType="solid">
        <fgColor rgb="FFFFE699"/>
        <bgColor rgb="FFFFEB9C"/>
      </patternFill>
    </fill>
    <fill>
      <patternFill patternType="solid">
        <fgColor rgb="FFB4C7E7"/>
        <bgColor rgb="FF99CCFF"/>
      </patternFill>
    </fill>
    <fill>
      <patternFill patternType="solid">
        <fgColor rgb="FFF8CBAD"/>
        <bgColor rgb="FFFFE699"/>
      </patternFill>
    </fill>
    <fill>
      <patternFill patternType="solid">
        <fgColor rgb="FFC5E0B4"/>
        <bgColor rgb="FFC6EFCE"/>
      </patternFill>
    </fill>
    <fill>
      <patternFill patternType="solid">
        <fgColor rgb="FFFFD320"/>
        <bgColor rgb="FFFFFF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/>
      <top style="thin"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false" applyAlignment="true" applyProtection="false">
      <alignment horizontal="general" vertical="bottom" textRotation="0" wrapText="false" indent="0" shrinkToFit="false"/>
    </xf>
    <xf numFmtId="164" fontId="9" fillId="3" borderId="0" applyFont="true" applyBorder="false" applyAlignment="true" applyProtection="false">
      <alignment horizontal="general" vertical="bottom" textRotation="0" wrapText="false" indent="0" shrinkToFit="false"/>
    </xf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7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6" borderId="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0" fillId="0" borderId="8" xfId="2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8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8" borderId="4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0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9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10" fillId="0" borderId="9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1" xfId="2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4" xfId="2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10" fillId="0" borderId="1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4 3 2" xfId="20"/>
    <cellStyle name="Excel Built-in Neutral" xfId="21"/>
    <cellStyle name="Excel Built-in Good" xfId="22"/>
  </cellStyles>
  <dxfs count="1">
    <dxf>
      <font>
        <name val="Calibri"/>
        <charset val="1"/>
        <family val="2"/>
        <b val="0"/>
        <i val="0"/>
        <color rgb="FF996600"/>
        <sz val="10"/>
      </font>
      <fill>
        <patternFill>
          <bgColor rgb="FFFFFFCC"/>
        </patternFill>
      </fill>
    </dxf>
  </dxfs>
  <colors>
    <indexedColors>
      <rgbColor rgb="FF000000"/>
      <rgbColor rgb="FFFFE699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96600"/>
      <rgbColor rgb="FF800080"/>
      <rgbColor rgb="FF008080"/>
      <rgbColor rgb="FFB4C7E7"/>
      <rgbColor rgb="FF808080"/>
      <rgbColor rgb="FF9999FF"/>
      <rgbColor rgb="FF993366"/>
      <rgbColor rgb="FFFFFFCC"/>
      <rgbColor rgb="FFC5E0B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D32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    <Relationship Id="rId5" Type="http://schemas.openxmlformats.org/officeDocument/2006/relationships/customXml" Target="../customXml/item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56" activeCellId="0" sqref="B10:M56"/>
    </sheetView>
  </sheetViews>
  <sheetFormatPr defaultColWidth="10.52734375" defaultRowHeight="15" zeroHeight="false" outlineLevelRow="0" outlineLevelCol="0"/>
  <cols>
    <col collapsed="false" customWidth="true" hidden="false" outlineLevel="0" max="1" min="1" style="0" width="10.83"/>
    <col collapsed="false" customWidth="true" hidden="false" outlineLevel="0" max="2" min="2" style="0" width="33.66"/>
    <col collapsed="false" customWidth="true" hidden="false" outlineLevel="0" max="6" min="3" style="0" width="10.83"/>
    <col collapsed="false" customWidth="true" hidden="false" outlineLevel="0" max="7" min="7" style="0" width="13.67"/>
    <col collapsed="false" customWidth="true" hidden="false" outlineLevel="0" max="12" min="8" style="0" width="10.83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false" outlineLevel="0" collapsed="false">
      <c r="A4" s="2"/>
      <c r="B4" s="3" t="s">
        <v>2</v>
      </c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2"/>
      <c r="B5" s="3" t="s">
        <v>3</v>
      </c>
      <c r="C5" s="3"/>
      <c r="D5" s="3"/>
      <c r="E5" s="3"/>
      <c r="F5" s="3"/>
      <c r="G5" s="3"/>
      <c r="H5" s="3"/>
      <c r="I5" s="3"/>
      <c r="J5" s="3"/>
    </row>
    <row r="6" customFormat="false" ht="15" hidden="false" customHeight="false" outlineLevel="0" collapsed="false">
      <c r="A6" s="2"/>
      <c r="B6" s="3" t="s">
        <v>4</v>
      </c>
      <c r="C6" s="3"/>
      <c r="D6" s="3"/>
      <c r="E6" s="3"/>
      <c r="F6" s="3"/>
      <c r="G6" s="3"/>
      <c r="H6" s="3"/>
      <c r="I6" s="3"/>
      <c r="J6" s="3"/>
    </row>
    <row r="7" customFormat="false" ht="15" hidden="false" customHeight="false" outlineLevel="0" collapsed="false">
      <c r="A7" s="2"/>
      <c r="B7" s="3" t="s">
        <v>5</v>
      </c>
      <c r="C7" s="3"/>
      <c r="D7" s="3"/>
      <c r="E7" s="3"/>
      <c r="F7" s="3"/>
      <c r="G7" s="3"/>
      <c r="H7" s="3"/>
      <c r="I7" s="3"/>
      <c r="J7" s="3"/>
    </row>
    <row r="8" customFormat="false" ht="15" hidden="false" customHeight="false" outlineLevel="0" collapsed="false">
      <c r="A8" s="2"/>
      <c r="B8" s="3" t="s">
        <v>6</v>
      </c>
      <c r="C8" s="3"/>
      <c r="D8" s="3"/>
      <c r="E8" s="3"/>
      <c r="F8" s="3"/>
      <c r="G8" s="3"/>
      <c r="H8" s="3"/>
      <c r="I8" s="3"/>
      <c r="J8" s="3"/>
    </row>
    <row r="9" customFormat="false" ht="15" hidden="false" customHeight="false" outlineLevel="0" collapsed="false">
      <c r="A9" s="2"/>
      <c r="B9" s="2"/>
      <c r="C9" s="3"/>
      <c r="D9" s="3"/>
      <c r="E9" s="3"/>
      <c r="F9" s="3"/>
      <c r="G9" s="3"/>
      <c r="H9" s="3"/>
      <c r="I9" s="3"/>
      <c r="J9" s="3"/>
    </row>
    <row r="10" customFormat="false" ht="15" hidden="false" customHeight="false" outlineLevel="0" collapsed="false">
      <c r="A10" s="2"/>
      <c r="B10" s="4" t="s">
        <v>7</v>
      </c>
      <c r="C10" s="5" t="s">
        <v>8</v>
      </c>
      <c r="D10" s="3"/>
      <c r="E10" s="3"/>
      <c r="F10" s="3"/>
      <c r="G10" s="3"/>
      <c r="H10" s="3"/>
      <c r="I10" s="3"/>
      <c r="J10" s="3"/>
    </row>
    <row r="11" customFormat="false" ht="15" hidden="false" customHeight="false" outlineLevel="0" collapsed="false">
      <c r="A11" s="2"/>
      <c r="B11" s="6" t="s">
        <v>9</v>
      </c>
      <c r="C11" s="7" t="n">
        <v>36</v>
      </c>
      <c r="D11" s="3" t="s">
        <v>10</v>
      </c>
      <c r="E11" s="3"/>
      <c r="G11" s="3" t="s">
        <v>11</v>
      </c>
      <c r="H11" s="8" t="n">
        <f aca="false">MIN(I17:I52)</f>
        <v>1.02666666666667</v>
      </c>
      <c r="I11" s="3"/>
      <c r="J11" s="3"/>
    </row>
    <row r="12" customFormat="false" ht="15" hidden="false" customHeight="false" outlineLevel="0" collapsed="false">
      <c r="A12" s="2"/>
      <c r="B12" s="9" t="s">
        <v>12</v>
      </c>
      <c r="C12" s="10" t="n">
        <f aca="false">C13/C11</f>
        <v>0.833333333333333</v>
      </c>
      <c r="D12" s="3" t="s">
        <v>13</v>
      </c>
      <c r="E12" s="3"/>
      <c r="G12" s="3" t="s">
        <v>14</v>
      </c>
      <c r="H12" s="8" t="n">
        <f aca="false">MAX(I17:I52)</f>
        <v>3.5085</v>
      </c>
      <c r="I12" s="3"/>
      <c r="J12" s="3"/>
    </row>
    <row r="13" customFormat="false" ht="15" hidden="false" customHeight="false" outlineLevel="0" collapsed="false">
      <c r="A13" s="2"/>
      <c r="B13" s="11" t="s">
        <v>15</v>
      </c>
      <c r="C13" s="12" t="n">
        <v>30</v>
      </c>
      <c r="D13" s="3" t="s">
        <v>10</v>
      </c>
      <c r="E13" s="3"/>
      <c r="F13" s="3"/>
      <c r="G13" s="3"/>
      <c r="H13" s="3"/>
      <c r="I13" s="3"/>
      <c r="J13" s="3"/>
    </row>
    <row r="14" customFormat="false" ht="15" hidden="false" customHeight="false" outlineLevel="0" collapsed="false">
      <c r="A14" s="2"/>
      <c r="B14" s="13" t="s">
        <v>16</v>
      </c>
      <c r="C14" s="14" t="n">
        <v>70</v>
      </c>
      <c r="D14" s="3" t="s">
        <v>10</v>
      </c>
      <c r="E14" s="3"/>
      <c r="F14" s="3"/>
      <c r="G14" s="3"/>
      <c r="H14" s="3"/>
      <c r="I14" s="3"/>
      <c r="J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customFormat="false" ht="36.15" hidden="false" customHeight="false" outlineLevel="0" collapsed="false">
      <c r="A16" s="2"/>
      <c r="B16" s="15" t="s">
        <v>17</v>
      </c>
      <c r="C16" s="16" t="s">
        <v>18</v>
      </c>
      <c r="D16" s="16" t="s">
        <v>19</v>
      </c>
      <c r="E16" s="16" t="s">
        <v>20</v>
      </c>
      <c r="F16" s="17" t="s">
        <v>21</v>
      </c>
      <c r="G16" s="18" t="s">
        <v>22</v>
      </c>
      <c r="H16" s="19" t="s">
        <v>23</v>
      </c>
      <c r="I16" s="20" t="s">
        <v>24</v>
      </c>
      <c r="J16" s="21" t="s">
        <v>25</v>
      </c>
      <c r="L16" s="0" t="s">
        <v>26</v>
      </c>
      <c r="M16" s="0" t="s">
        <v>27</v>
      </c>
    </row>
    <row r="17" customFormat="false" ht="15" hidden="false" customHeight="false" outlineLevel="0" collapsed="false">
      <c r="A17" s="2"/>
      <c r="B17" s="22" t="s">
        <v>28</v>
      </c>
      <c r="C17" s="23" t="n">
        <v>7.96</v>
      </c>
      <c r="D17" s="23" t="n">
        <v>335</v>
      </c>
      <c r="E17" s="24" t="n">
        <f aca="false">C17*1000000/(660*D17)</f>
        <v>36.0018091361375</v>
      </c>
      <c r="F17" s="25" t="n">
        <f aca="false">C$14/(E17/C$12)</f>
        <v>1.62028894472362</v>
      </c>
      <c r="G17" s="26" t="s">
        <v>29</v>
      </c>
      <c r="H17" s="27" t="n">
        <v>1</v>
      </c>
      <c r="I17" s="28" t="n">
        <f aca="false">F17*H17</f>
        <v>1.62028894472362</v>
      </c>
      <c r="J17" s="29" t="n">
        <f aca="false">C17*(I17/H17)</f>
        <v>12.8975</v>
      </c>
    </row>
    <row r="18" customFormat="false" ht="15" hidden="false" customHeight="false" outlineLevel="0" collapsed="false">
      <c r="A18" s="2"/>
      <c r="B18" s="30" t="s">
        <v>30</v>
      </c>
      <c r="C18" s="23" t="n">
        <v>16.4</v>
      </c>
      <c r="D18" s="23" t="n">
        <v>332.66</v>
      </c>
      <c r="E18" s="24" t="n">
        <f aca="false">C18*1000000/(660*D18)</f>
        <v>74.6963411545868</v>
      </c>
      <c r="F18" s="25" t="n">
        <f aca="false">C$14/(E18/C$12)</f>
        <v>0.780939634146341</v>
      </c>
      <c r="G18" s="26" t="s">
        <v>29</v>
      </c>
      <c r="H18" s="27" t="n">
        <v>2</v>
      </c>
      <c r="I18" s="28" t="n">
        <f aca="false">F18*H18</f>
        <v>1.56187926829268</v>
      </c>
      <c r="J18" s="29" t="n">
        <f aca="false">C18*(I18/H18)</f>
        <v>12.80741</v>
      </c>
      <c r="K18" s="30" t="s">
        <v>30</v>
      </c>
      <c r="L18" s="0" t="n">
        <v>1.5</v>
      </c>
      <c r="M18" s="0" t="n">
        <v>1.5</v>
      </c>
    </row>
    <row r="19" customFormat="false" ht="15" hidden="false" customHeight="false" outlineLevel="0" collapsed="false">
      <c r="A19" s="2"/>
      <c r="B19" s="22" t="s">
        <v>31</v>
      </c>
      <c r="C19" s="23" t="n">
        <v>10.6</v>
      </c>
      <c r="D19" s="23" t="n">
        <v>331</v>
      </c>
      <c r="E19" s="24" t="n">
        <f aca="false">C19*1000000/(660*D19)</f>
        <v>48.5214684610455</v>
      </c>
      <c r="F19" s="25" t="n">
        <f aca="false">C$14/(E19/C$12)</f>
        <v>1.20221698113208</v>
      </c>
      <c r="G19" s="26" t="s">
        <v>29</v>
      </c>
      <c r="H19" s="27" t="n">
        <v>1</v>
      </c>
      <c r="I19" s="28" t="n">
        <f aca="false">F19*H19</f>
        <v>1.20221698113208</v>
      </c>
      <c r="J19" s="29" t="n">
        <f aca="false">C19*(I19/H19)</f>
        <v>12.7435</v>
      </c>
    </row>
    <row r="20" customFormat="false" ht="15" hidden="false" customHeight="false" outlineLevel="0" collapsed="false">
      <c r="A20" s="2"/>
      <c r="B20" s="22" t="s">
        <v>32</v>
      </c>
      <c r="C20" s="23" t="n">
        <v>10.4</v>
      </c>
      <c r="D20" s="23" t="n">
        <v>338</v>
      </c>
      <c r="E20" s="24" t="n">
        <f aca="false">C20*1000000/(660*D20)</f>
        <v>46.6200466200466</v>
      </c>
      <c r="F20" s="25" t="n">
        <f aca="false">C$14/(E20/C$12)</f>
        <v>1.25125</v>
      </c>
      <c r="G20" s="26" t="s">
        <v>29</v>
      </c>
      <c r="H20" s="27" t="n">
        <v>1</v>
      </c>
      <c r="I20" s="28" t="n">
        <f aca="false">F20*H20</f>
        <v>1.25125</v>
      </c>
      <c r="J20" s="29" t="n">
        <f aca="false">C20*(I20/H20)</f>
        <v>13.013</v>
      </c>
    </row>
    <row r="21" customFormat="false" ht="15" hidden="false" customHeight="false" outlineLevel="0" collapsed="false">
      <c r="A21" s="2"/>
      <c r="B21" s="22" t="s">
        <v>33</v>
      </c>
      <c r="C21" s="23" t="n">
        <v>11.9</v>
      </c>
      <c r="D21" s="23" t="n">
        <v>335</v>
      </c>
      <c r="E21" s="24" t="n">
        <f aca="false">C21*1000000/(660*D21)</f>
        <v>53.8218000904568</v>
      </c>
      <c r="F21" s="25" t="n">
        <f aca="false">C$14/(E21/C$12)</f>
        <v>1.08382352941176</v>
      </c>
      <c r="G21" s="26" t="s">
        <v>29</v>
      </c>
      <c r="H21" s="27" t="n">
        <v>1</v>
      </c>
      <c r="I21" s="28" t="n">
        <f aca="false">F21*H21</f>
        <v>1.08382352941176</v>
      </c>
      <c r="J21" s="29" t="n">
        <f aca="false">C21*(I21/H21)</f>
        <v>12.8975</v>
      </c>
    </row>
    <row r="22" customFormat="false" ht="15" hidden="false" customHeight="false" outlineLevel="0" collapsed="false">
      <c r="A22" s="2"/>
      <c r="B22" s="22" t="s">
        <v>34</v>
      </c>
      <c r="C22" s="23" t="n">
        <v>10.5</v>
      </c>
      <c r="D22" s="23" t="n">
        <v>337</v>
      </c>
      <c r="E22" s="24" t="n">
        <f aca="false">C22*1000000/(660*D22)</f>
        <v>47.2079848934448</v>
      </c>
      <c r="F22" s="25" t="n">
        <f aca="false">C$14/(E22/C$12)</f>
        <v>1.23566666666667</v>
      </c>
      <c r="G22" s="26" t="s">
        <v>29</v>
      </c>
      <c r="H22" s="27" t="n">
        <v>1</v>
      </c>
      <c r="I22" s="28" t="n">
        <f aca="false">F22*H22</f>
        <v>1.23566666666667</v>
      </c>
      <c r="J22" s="29" t="n">
        <f aca="false">C22*(I22/H22)</f>
        <v>12.9745</v>
      </c>
    </row>
    <row r="23" customFormat="false" ht="15" hidden="false" customHeight="false" outlineLevel="0" collapsed="false">
      <c r="A23" s="2"/>
      <c r="B23" s="22" t="s">
        <v>35</v>
      </c>
      <c r="C23" s="23" t="n">
        <v>12.9</v>
      </c>
      <c r="D23" s="23" t="n">
        <v>344</v>
      </c>
      <c r="E23" s="24" t="n">
        <f aca="false">C23*1000000/(660*D23)</f>
        <v>56.8181818181818</v>
      </c>
      <c r="F23" s="25" t="n">
        <f aca="false">C$14/(E23/C$12)</f>
        <v>1.02666666666667</v>
      </c>
      <c r="G23" s="26" t="s">
        <v>29</v>
      </c>
      <c r="H23" s="27" t="n">
        <v>1</v>
      </c>
      <c r="I23" s="28" t="n">
        <f aca="false">F23*H23</f>
        <v>1.02666666666667</v>
      </c>
      <c r="J23" s="29" t="n">
        <f aca="false">C23*(I23/H23)</f>
        <v>13.244</v>
      </c>
    </row>
    <row r="24" s="35" customFormat="true" ht="15" hidden="false" customHeight="false" outlineLevel="0" collapsed="false">
      <c r="A24" s="31"/>
      <c r="B24" s="32" t="s">
        <v>36</v>
      </c>
      <c r="C24" s="33" t="n">
        <v>12.4</v>
      </c>
      <c r="D24" s="33" t="n">
        <v>337</v>
      </c>
      <c r="E24" s="24" t="n">
        <f aca="false">C24*1000000/(660*D24)</f>
        <v>55.7503821598777</v>
      </c>
      <c r="F24" s="25" t="n">
        <f aca="false">C$14/(E24/C$12)</f>
        <v>1.04633064516129</v>
      </c>
      <c r="G24" s="26" t="s">
        <v>29</v>
      </c>
      <c r="H24" s="27" t="n">
        <v>1</v>
      </c>
      <c r="I24" s="28" t="n">
        <f aca="false">F24*H24</f>
        <v>1.04633064516129</v>
      </c>
      <c r="J24" s="34" t="n">
        <f aca="false">C24*(I24/H24)</f>
        <v>12.9745</v>
      </c>
    </row>
    <row r="25" customFormat="false" ht="15" hidden="false" customHeight="false" outlineLevel="0" collapsed="false">
      <c r="A25" s="2"/>
      <c r="B25" s="22" t="s">
        <v>37</v>
      </c>
      <c r="C25" s="23" t="n">
        <v>21.4</v>
      </c>
      <c r="D25" s="23" t="n">
        <v>337.68</v>
      </c>
      <c r="E25" s="24" t="n">
        <f aca="false">C25*1000000/(660*D25)</f>
        <v>96.0206184086781</v>
      </c>
      <c r="F25" s="25" t="n">
        <f aca="false">C$14/(E25/C$12)</f>
        <v>0.607508411214953</v>
      </c>
      <c r="G25" s="26" t="s">
        <v>29</v>
      </c>
      <c r="H25" s="27" t="n">
        <v>2</v>
      </c>
      <c r="I25" s="28" t="n">
        <f aca="false">F25*H25</f>
        <v>1.21501682242991</v>
      </c>
      <c r="J25" s="29" t="n">
        <f aca="false">C25*(I25/H25)</f>
        <v>13.00068</v>
      </c>
      <c r="K25" s="22" t="s">
        <v>37</v>
      </c>
      <c r="L25" s="0" t="n">
        <v>1.5</v>
      </c>
      <c r="M25" s="0" t="n">
        <v>1.5</v>
      </c>
    </row>
    <row r="26" customFormat="false" ht="15" hidden="false" customHeight="false" outlineLevel="0" collapsed="false">
      <c r="A26" s="2"/>
      <c r="B26" s="22" t="s">
        <v>38</v>
      </c>
      <c r="C26" s="23" t="n">
        <v>5.86</v>
      </c>
      <c r="D26" s="23" t="n">
        <v>296.72</v>
      </c>
      <c r="E26" s="24" t="n">
        <f aca="false">C26*1000000/(660*D26)</f>
        <v>29.9231190306952</v>
      </c>
      <c r="F26" s="25" t="n">
        <f aca="false">C$14/(E26/C$12)</f>
        <v>1.94944027303754</v>
      </c>
      <c r="G26" s="26" t="s">
        <v>29</v>
      </c>
      <c r="H26" s="27" t="n">
        <v>1</v>
      </c>
      <c r="I26" s="28" t="n">
        <f aca="false">F26*H26</f>
        <v>1.94944027303754</v>
      </c>
      <c r="J26" s="29" t="n">
        <f aca="false">C26*(I26/H26)</f>
        <v>11.42372</v>
      </c>
    </row>
    <row r="27" customFormat="false" ht="15" hidden="false" customHeight="false" outlineLevel="0" collapsed="false">
      <c r="A27" s="2"/>
      <c r="B27" s="22" t="s">
        <v>39</v>
      </c>
      <c r="C27" s="23" t="n">
        <v>7.39</v>
      </c>
      <c r="D27" s="23" t="n">
        <v>336.37</v>
      </c>
      <c r="E27" s="24" t="n">
        <f aca="false">C27*1000000/(660*D27)</f>
        <v>33.2876585217757</v>
      </c>
      <c r="F27" s="25" t="n">
        <f aca="false">C$14/(E27/C$12)</f>
        <v>1.75240121786198</v>
      </c>
      <c r="G27" s="26" t="s">
        <v>29</v>
      </c>
      <c r="H27" s="27" t="n">
        <v>1</v>
      </c>
      <c r="I27" s="28" t="n">
        <f aca="false">F27*H27</f>
        <v>1.75240121786198</v>
      </c>
      <c r="J27" s="29" t="n">
        <f aca="false">C27*(I27/H27)</f>
        <v>12.950245</v>
      </c>
    </row>
    <row r="28" customFormat="false" ht="15" hidden="false" customHeight="false" outlineLevel="0" collapsed="false">
      <c r="A28" s="2"/>
      <c r="B28" s="22" t="s">
        <v>40</v>
      </c>
      <c r="C28" s="23" t="n">
        <v>17.9</v>
      </c>
      <c r="D28" s="23" t="n">
        <v>349.97</v>
      </c>
      <c r="E28" s="24" t="n">
        <f aca="false">C28*1000000/(660*D28)</f>
        <v>77.4958199880336</v>
      </c>
      <c r="F28" s="25" t="n">
        <f aca="false">C$14/(E28/C$12)</f>
        <v>0.752728770949721</v>
      </c>
      <c r="G28" s="26" t="s">
        <v>29</v>
      </c>
      <c r="H28" s="27" t="n">
        <v>2</v>
      </c>
      <c r="I28" s="28" t="n">
        <f aca="false">F28*H28</f>
        <v>1.50545754189944</v>
      </c>
      <c r="J28" s="29" t="n">
        <f aca="false">C28*(I28/H28)</f>
        <v>13.473845</v>
      </c>
      <c r="K28" s="22" t="s">
        <v>40</v>
      </c>
      <c r="L28" s="0" t="n">
        <v>1.5</v>
      </c>
      <c r="M28" s="0" t="n">
        <v>1.5</v>
      </c>
    </row>
    <row r="29" customFormat="false" ht="15" hidden="false" customHeight="false" outlineLevel="0" collapsed="false">
      <c r="A29" s="2"/>
      <c r="B29" s="22" t="s">
        <v>41</v>
      </c>
      <c r="C29" s="23" t="n">
        <v>10.1</v>
      </c>
      <c r="D29" s="23" t="n">
        <v>369.03</v>
      </c>
      <c r="E29" s="24" t="n">
        <f aca="false">C29*1000000/(660*D29)</f>
        <v>41.4682554345996</v>
      </c>
      <c r="F29" s="25" t="n">
        <f aca="false">C$14/(E29/C$12)</f>
        <v>1.40669851485149</v>
      </c>
      <c r="G29" s="26" t="s">
        <v>29</v>
      </c>
      <c r="H29" s="27" t="n">
        <v>1</v>
      </c>
      <c r="I29" s="28" t="n">
        <f aca="false">F29*H29</f>
        <v>1.40669851485149</v>
      </c>
      <c r="J29" s="29" t="n">
        <f aca="false">C29*(I29/H29)</f>
        <v>14.207655</v>
      </c>
    </row>
    <row r="30" customFormat="false" ht="15" hidden="false" customHeight="false" outlineLevel="0" collapsed="false">
      <c r="A30" s="2"/>
      <c r="B30" s="22" t="s">
        <v>42</v>
      </c>
      <c r="C30" s="23" t="n">
        <v>11.1</v>
      </c>
      <c r="D30" s="23" t="n">
        <v>358.86</v>
      </c>
      <c r="E30" s="24" t="n">
        <f aca="false">C30*1000000/(660*D30)</f>
        <v>46.8655793852249</v>
      </c>
      <c r="F30" s="25" t="n">
        <f aca="false">C$14/(E30/C$12)</f>
        <v>1.24469459459459</v>
      </c>
      <c r="G30" s="26" t="s">
        <v>29</v>
      </c>
      <c r="H30" s="27" t="n">
        <v>1</v>
      </c>
      <c r="I30" s="28" t="n">
        <f aca="false">F30*H30</f>
        <v>1.24469459459459</v>
      </c>
      <c r="J30" s="29" t="n">
        <f aca="false">C30*(I30/H30)</f>
        <v>13.81611</v>
      </c>
    </row>
    <row r="31" customFormat="false" ht="15" hidden="false" customHeight="false" outlineLevel="0" collapsed="false">
      <c r="A31" s="2"/>
      <c r="B31" s="22" t="s">
        <v>43</v>
      </c>
      <c r="C31" s="23" t="n">
        <v>11.7</v>
      </c>
      <c r="D31" s="23" t="n">
        <v>350.92</v>
      </c>
      <c r="E31" s="24" t="n">
        <f aca="false">C31*1000000/(660*D31)</f>
        <v>50.5165642518885</v>
      </c>
      <c r="F31" s="25" t="n">
        <f aca="false">C$14/(E31/C$12)</f>
        <v>1.15473675213675</v>
      </c>
      <c r="G31" s="26" t="s">
        <v>29</v>
      </c>
      <c r="H31" s="27" t="n">
        <v>1</v>
      </c>
      <c r="I31" s="28" t="n">
        <f aca="false">F31*H31</f>
        <v>1.15473675213675</v>
      </c>
      <c r="J31" s="29" t="n">
        <f aca="false">C31*(I31/H31)</f>
        <v>13.51042</v>
      </c>
    </row>
    <row r="32" s="35" customFormat="true" ht="15" hidden="false" customHeight="false" outlineLevel="0" collapsed="false">
      <c r="A32" s="31"/>
      <c r="B32" s="32" t="s">
        <v>44</v>
      </c>
      <c r="C32" s="33" t="n">
        <v>8.83</v>
      </c>
      <c r="D32" s="33" t="n">
        <v>337.65</v>
      </c>
      <c r="E32" s="24" t="n">
        <f aca="false">C32*1000000/(660*D32)</f>
        <v>39.6232426441223</v>
      </c>
      <c r="F32" s="25" t="n">
        <f aca="false">C$14/(E32/C$12)</f>
        <v>1.47219988674972</v>
      </c>
      <c r="G32" s="26" t="s">
        <v>29</v>
      </c>
      <c r="H32" s="27" t="n">
        <v>1</v>
      </c>
      <c r="I32" s="28" t="n">
        <f aca="false">F32*H32</f>
        <v>1.47219988674972</v>
      </c>
      <c r="J32" s="34" t="n">
        <f aca="false">C32*(I32/H32)</f>
        <v>12.999525</v>
      </c>
    </row>
    <row r="33" customFormat="false" ht="15" hidden="false" customHeight="false" outlineLevel="0" collapsed="false">
      <c r="A33" s="2"/>
      <c r="B33" s="22" t="s">
        <v>45</v>
      </c>
      <c r="C33" s="23" t="n">
        <v>7.06</v>
      </c>
      <c r="D33" s="23" t="n">
        <v>357.99</v>
      </c>
      <c r="E33" s="24" t="n">
        <f aca="false">C33*1000000/(660*D33)</f>
        <v>29.8806382775209</v>
      </c>
      <c r="F33" s="25" t="n">
        <f aca="false">C$14/(E33/C$12)</f>
        <v>1.95221175637394</v>
      </c>
      <c r="G33" s="26" t="s">
        <v>29</v>
      </c>
      <c r="H33" s="27" t="n">
        <v>1</v>
      </c>
      <c r="I33" s="28" t="n">
        <f aca="false">F33*H33</f>
        <v>1.95221175637394</v>
      </c>
      <c r="J33" s="29" t="n">
        <f aca="false">C33*(I33/H33)</f>
        <v>13.782615</v>
      </c>
    </row>
    <row r="34" customFormat="false" ht="15" hidden="false" customHeight="false" outlineLevel="0" collapsed="false">
      <c r="A34" s="2"/>
      <c r="B34" s="22" t="s">
        <v>46</v>
      </c>
      <c r="C34" s="23" t="n">
        <v>7.91</v>
      </c>
      <c r="D34" s="23" t="n">
        <v>358.86</v>
      </c>
      <c r="E34" s="24" t="n">
        <f aca="false">C34*1000000/(660*D34)</f>
        <v>33.3970029673089</v>
      </c>
      <c r="F34" s="25" t="n">
        <f aca="false">C$14/(E34/C$12)</f>
        <v>1.74666371681416</v>
      </c>
      <c r="G34" s="26" t="s">
        <v>29</v>
      </c>
      <c r="H34" s="27" t="n">
        <v>1</v>
      </c>
      <c r="I34" s="28" t="n">
        <f aca="false">F34*H34</f>
        <v>1.74666371681416</v>
      </c>
      <c r="J34" s="29" t="n">
        <f aca="false">C34*(I34/H34)</f>
        <v>13.81611</v>
      </c>
    </row>
    <row r="35" customFormat="false" ht="15" hidden="false" customHeight="false" outlineLevel="0" collapsed="false">
      <c r="A35" s="2"/>
      <c r="B35" s="22" t="s">
        <v>47</v>
      </c>
      <c r="C35" s="23" t="n">
        <v>11.7</v>
      </c>
      <c r="D35" s="23" t="n">
        <v>332.9</v>
      </c>
      <c r="E35" s="24" t="n">
        <f aca="false">C35*1000000/(660*D35)</f>
        <v>53.2510445397198</v>
      </c>
      <c r="F35" s="25" t="n">
        <f aca="false">C$14/(E35/C$12)</f>
        <v>1.09544017094017</v>
      </c>
      <c r="G35" s="26" t="s">
        <v>29</v>
      </c>
      <c r="H35" s="27" t="n">
        <v>1</v>
      </c>
      <c r="I35" s="28" t="n">
        <f aca="false">F35*H35</f>
        <v>1.09544017094017</v>
      </c>
      <c r="J35" s="29" t="n">
        <f aca="false">C35*(I35/H35)</f>
        <v>12.81665</v>
      </c>
    </row>
    <row r="36" customFormat="false" ht="15" hidden="false" customHeight="false" outlineLevel="0" collapsed="false">
      <c r="A36" s="2"/>
      <c r="B36" s="22" t="s">
        <v>48</v>
      </c>
      <c r="C36" s="23" t="n">
        <v>12</v>
      </c>
      <c r="D36" s="23" t="n">
        <v>344.46</v>
      </c>
      <c r="E36" s="24" t="n">
        <f aca="false">C36*1000000/(660*D36)</f>
        <v>52.7835399808924</v>
      </c>
      <c r="F36" s="25" t="n">
        <f aca="false">C$14/(E36/C$12)</f>
        <v>1.1051425</v>
      </c>
      <c r="G36" s="26" t="s">
        <v>29</v>
      </c>
      <c r="H36" s="27" t="n">
        <v>1</v>
      </c>
      <c r="I36" s="28" t="n">
        <f aca="false">F36*H36</f>
        <v>1.1051425</v>
      </c>
      <c r="J36" s="29" t="n">
        <f aca="false">C36*(I36/H36)</f>
        <v>13.26171</v>
      </c>
    </row>
    <row r="37" customFormat="false" ht="15" hidden="false" customHeight="false" outlineLevel="0" collapsed="false">
      <c r="A37" s="2"/>
      <c r="B37" s="22" t="s">
        <v>49</v>
      </c>
      <c r="C37" s="23" t="n">
        <v>12.3</v>
      </c>
      <c r="D37" s="23" t="n">
        <v>343.04</v>
      </c>
      <c r="E37" s="24" t="n">
        <f aca="false">C37*1000000/(660*D37)</f>
        <v>54.3270861601085</v>
      </c>
      <c r="F37" s="25" t="n">
        <f aca="false">C$14/(E37/C$12)</f>
        <v>1.07374308943089</v>
      </c>
      <c r="G37" s="26" t="s">
        <v>29</v>
      </c>
      <c r="H37" s="27" t="n">
        <v>1</v>
      </c>
      <c r="I37" s="28" t="n">
        <f aca="false">F37*H37</f>
        <v>1.07374308943089</v>
      </c>
      <c r="J37" s="29" t="n">
        <f aca="false">C37*(I37/H37)</f>
        <v>13.20704</v>
      </c>
    </row>
    <row r="38" customFormat="false" ht="15" hidden="false" customHeight="false" outlineLevel="0" collapsed="false">
      <c r="A38" s="2"/>
      <c r="B38" s="22" t="s">
        <v>50</v>
      </c>
      <c r="C38" s="23" t="n">
        <v>16.8</v>
      </c>
      <c r="D38" s="23" t="n">
        <v>347.82</v>
      </c>
      <c r="E38" s="24" t="n">
        <f aca="false">C38*1000000/(660*D38)</f>
        <v>73.1830988860487</v>
      </c>
      <c r="F38" s="25" t="n">
        <f aca="false">C$14/(E38/C$12)</f>
        <v>0.7970875</v>
      </c>
      <c r="G38" s="26" t="s">
        <v>29</v>
      </c>
      <c r="H38" s="27" t="n">
        <v>2</v>
      </c>
      <c r="I38" s="28" t="n">
        <f aca="false">F38*H38</f>
        <v>1.594175</v>
      </c>
      <c r="J38" s="29" t="n">
        <f aca="false">C38*(I38/H38)</f>
        <v>13.39107</v>
      </c>
      <c r="K38" s="22" t="s">
        <v>50</v>
      </c>
      <c r="L38" s="0" t="n">
        <v>1.5</v>
      </c>
      <c r="M38" s="0" t="n">
        <v>1.5</v>
      </c>
    </row>
    <row r="39" customFormat="false" ht="15" hidden="false" customHeight="false" outlineLevel="0" collapsed="false">
      <c r="A39" s="2"/>
      <c r="B39" s="22" t="s">
        <v>51</v>
      </c>
      <c r="C39" s="23" t="n">
        <v>10.1</v>
      </c>
      <c r="D39" s="23" t="n">
        <v>357.16</v>
      </c>
      <c r="E39" s="24" t="n">
        <f aca="false">C39*1000000/(660*D39)</f>
        <v>42.8464282199303</v>
      </c>
      <c r="F39" s="25" t="n">
        <f aca="false">C$14/(E39/C$12)</f>
        <v>1.36145148514851</v>
      </c>
      <c r="G39" s="26" t="s">
        <v>29</v>
      </c>
      <c r="H39" s="27" t="n">
        <v>1</v>
      </c>
      <c r="I39" s="28" t="n">
        <f aca="false">F39*H39</f>
        <v>1.36145148514851</v>
      </c>
      <c r="J39" s="29" t="n">
        <f aca="false">C39*(I39/H39)</f>
        <v>13.75066</v>
      </c>
    </row>
    <row r="40" s="35" customFormat="true" ht="15" hidden="false" customHeight="false" outlineLevel="0" collapsed="false">
      <c r="A40" s="31"/>
      <c r="B40" s="32" t="s">
        <v>52</v>
      </c>
      <c r="C40" s="33" t="n">
        <v>16.1</v>
      </c>
      <c r="D40" s="33" t="n">
        <v>360.52</v>
      </c>
      <c r="E40" s="24" t="n">
        <f aca="false">C40*1000000/(660*D40)</f>
        <v>67.6632070174731</v>
      </c>
      <c r="F40" s="25" t="n">
        <f aca="false">C$14/(E40/C$12)</f>
        <v>0.862113043478261</v>
      </c>
      <c r="G40" s="26" t="s">
        <v>29</v>
      </c>
      <c r="H40" s="27" t="n">
        <v>2</v>
      </c>
      <c r="I40" s="28" t="n">
        <f aca="false">F40*H40</f>
        <v>1.72422608695652</v>
      </c>
      <c r="J40" s="34" t="n">
        <f aca="false">C40*(I40/H40)</f>
        <v>13.88002</v>
      </c>
      <c r="K40" s="32" t="s">
        <v>52</v>
      </c>
      <c r="L40" s="35" t="n">
        <v>1.5</v>
      </c>
      <c r="M40" s="35" t="n">
        <v>1.5</v>
      </c>
    </row>
    <row r="41" customFormat="false" ht="15" hidden="false" customHeight="false" outlineLevel="0" collapsed="false">
      <c r="A41" s="2"/>
      <c r="B41" s="22" t="s">
        <v>53</v>
      </c>
      <c r="C41" s="23" t="n">
        <v>4.96</v>
      </c>
      <c r="D41" s="23" t="n">
        <v>356.16</v>
      </c>
      <c r="E41" s="24" t="n">
        <f aca="false">C41*1000000/(660*D41)</f>
        <v>21.100492798606</v>
      </c>
      <c r="F41" s="25" t="n">
        <f aca="false">C$14/(E41/C$12)</f>
        <v>2.76454838709677</v>
      </c>
      <c r="G41" s="26" t="s">
        <v>29</v>
      </c>
      <c r="H41" s="27" t="n">
        <v>1</v>
      </c>
      <c r="I41" s="28" t="n">
        <f aca="false">F41*H41</f>
        <v>2.76454838709677</v>
      </c>
      <c r="J41" s="29" t="n">
        <f aca="false">C41*(I41/H41)</f>
        <v>13.71216</v>
      </c>
    </row>
    <row r="42" customFormat="false" ht="15" hidden="false" customHeight="false" outlineLevel="0" collapsed="false">
      <c r="A42" s="2"/>
      <c r="B42" s="22" t="s">
        <v>54</v>
      </c>
      <c r="C42" s="23" t="n">
        <v>6.24</v>
      </c>
      <c r="D42" s="23" t="n">
        <v>348.63</v>
      </c>
      <c r="E42" s="24" t="n">
        <f aca="false">C42*1000000/(660*D42)</f>
        <v>27.1191390716389</v>
      </c>
      <c r="F42" s="25" t="n">
        <f aca="false">C$14/(E42/C$12)</f>
        <v>2.15100240384615</v>
      </c>
      <c r="G42" s="26" t="s">
        <v>29</v>
      </c>
      <c r="H42" s="27" t="n">
        <v>1</v>
      </c>
      <c r="I42" s="28" t="n">
        <f aca="false">F42*H42</f>
        <v>2.15100240384615</v>
      </c>
      <c r="J42" s="29" t="n">
        <f aca="false">C42*(I42/H42)</f>
        <v>13.422255</v>
      </c>
    </row>
    <row r="43" customFormat="false" ht="15" hidden="false" customHeight="false" outlineLevel="0" collapsed="false">
      <c r="A43" s="2"/>
      <c r="B43" s="22" t="s">
        <v>55</v>
      </c>
      <c r="C43" s="23" t="n">
        <v>5.4</v>
      </c>
      <c r="D43" s="23" t="n">
        <v>332.96</v>
      </c>
      <c r="E43" s="24" t="n">
        <f aca="false">C43*1000000/(660*D43)</f>
        <v>24.5729762788869</v>
      </c>
      <c r="F43" s="25" t="n">
        <f aca="false">C$14/(E43/C$12)</f>
        <v>2.37388148148148</v>
      </c>
      <c r="G43" s="26" t="s">
        <v>29</v>
      </c>
      <c r="H43" s="27" t="n">
        <v>1</v>
      </c>
      <c r="I43" s="28" t="n">
        <f aca="false">F43*H43</f>
        <v>2.37388148148148</v>
      </c>
      <c r="J43" s="29" t="n">
        <f aca="false">C43*(I43/H43)</f>
        <v>12.81896</v>
      </c>
    </row>
    <row r="44" customFormat="false" ht="15" hidden="false" customHeight="false" outlineLevel="0" collapsed="false">
      <c r="A44" s="2"/>
      <c r="B44" s="22" t="s">
        <v>56</v>
      </c>
      <c r="C44" s="23" t="n">
        <v>14</v>
      </c>
      <c r="D44" s="23" t="n">
        <v>341.96</v>
      </c>
      <c r="E44" s="24" t="n">
        <f aca="false">C44*1000000/(660*D44)</f>
        <v>62.0310013221465</v>
      </c>
      <c r="F44" s="25" t="n">
        <f aca="false">C$14/(E44/C$12)</f>
        <v>0.94039</v>
      </c>
      <c r="G44" s="26" t="s">
        <v>29</v>
      </c>
      <c r="H44" s="27" t="n">
        <v>2</v>
      </c>
      <c r="I44" s="28" t="n">
        <f aca="false">F44*H44</f>
        <v>1.88078</v>
      </c>
      <c r="J44" s="29" t="n">
        <f aca="false">C44*(I44/H44)</f>
        <v>13.16546</v>
      </c>
      <c r="K44" s="22" t="s">
        <v>56</v>
      </c>
      <c r="L44" s="0" t="n">
        <v>1.5</v>
      </c>
      <c r="M44" s="0" t="n">
        <v>1.5</v>
      </c>
    </row>
    <row r="45" customFormat="false" ht="15" hidden="false" customHeight="false" outlineLevel="0" collapsed="false">
      <c r="A45" s="2"/>
      <c r="B45" s="22" t="s">
        <v>57</v>
      </c>
      <c r="C45" s="23" t="n">
        <v>9.53</v>
      </c>
      <c r="D45" s="23" t="n">
        <v>345.29</v>
      </c>
      <c r="E45" s="24" t="n">
        <f aca="false">C45*1000000/(660*D45)</f>
        <v>41.8181642659618</v>
      </c>
      <c r="F45" s="25" t="n">
        <f aca="false">C$14/(E45/C$12)</f>
        <v>1.39492812172088</v>
      </c>
      <c r="G45" s="26" t="s">
        <v>29</v>
      </c>
      <c r="H45" s="27" t="n">
        <v>1</v>
      </c>
      <c r="I45" s="28" t="n">
        <f aca="false">F45*H45</f>
        <v>1.39492812172088</v>
      </c>
      <c r="J45" s="29" t="n">
        <f aca="false">C45*(I45/H45)</f>
        <v>13.293665</v>
      </c>
    </row>
    <row r="46" customFormat="false" ht="15" hidden="false" customHeight="false" outlineLevel="0" collapsed="false">
      <c r="A46" s="2"/>
      <c r="B46" s="22" t="s">
        <v>58</v>
      </c>
      <c r="C46" s="23" t="n">
        <v>4.06</v>
      </c>
      <c r="D46" s="23" t="n">
        <v>368.03</v>
      </c>
      <c r="E46" s="24" t="n">
        <f aca="false">C46*1000000/(660*D46)</f>
        <v>16.7147111689676</v>
      </c>
      <c r="F46" s="25" t="n">
        <f aca="false">C$14/(E46/C$12)</f>
        <v>3.48993965517241</v>
      </c>
      <c r="G46" s="26" t="s">
        <v>29</v>
      </c>
      <c r="H46" s="27" t="n">
        <v>1</v>
      </c>
      <c r="I46" s="28" t="n">
        <f aca="false">F46*H46</f>
        <v>3.48993965517241</v>
      </c>
      <c r="J46" s="29" t="n">
        <f aca="false">C46*(I46/H46)</f>
        <v>14.169155</v>
      </c>
    </row>
    <row r="47" customFormat="false" ht="15" hidden="false" customHeight="false" outlineLevel="0" collapsed="false">
      <c r="A47" s="2"/>
      <c r="B47" s="22" t="s">
        <v>59</v>
      </c>
      <c r="C47" s="23" t="n">
        <v>6.22</v>
      </c>
      <c r="D47" s="23" t="n">
        <v>339.09</v>
      </c>
      <c r="E47" s="24" t="n">
        <f aca="false">C47*1000000/(660*D47)</f>
        <v>27.7927465399818</v>
      </c>
      <c r="F47" s="25" t="n">
        <f aca="false">C$14/(E47/C$12)</f>
        <v>2.09886897106109</v>
      </c>
      <c r="G47" s="26" t="s">
        <v>29</v>
      </c>
      <c r="H47" s="27" t="n">
        <v>1</v>
      </c>
      <c r="I47" s="28" t="n">
        <f aca="false">F47*H47</f>
        <v>2.09886897106109</v>
      </c>
      <c r="J47" s="29" t="n">
        <f aca="false">C47*(I47/H47)</f>
        <v>13.054965</v>
      </c>
    </row>
    <row r="48" s="35" customFormat="true" ht="15" hidden="false" customHeight="false" outlineLevel="0" collapsed="false">
      <c r="A48" s="31"/>
      <c r="B48" s="36" t="s">
        <v>60</v>
      </c>
      <c r="C48" s="36" t="n">
        <v>6.05</v>
      </c>
      <c r="D48" s="36" t="n">
        <v>324.68</v>
      </c>
      <c r="E48" s="24" t="n">
        <f aca="false">C48*1000000/(660*D48)</f>
        <v>28.2329267791877</v>
      </c>
      <c r="F48" s="25" t="n">
        <f aca="false">C$14/(E48/C$12)</f>
        <v>2.06614545454545</v>
      </c>
      <c r="G48" s="26" t="s">
        <v>29</v>
      </c>
      <c r="H48" s="27" t="n">
        <v>1</v>
      </c>
      <c r="I48" s="28" t="n">
        <f aca="false">F48*H48</f>
        <v>2.06614545454545</v>
      </c>
      <c r="J48" s="34" t="n">
        <f aca="false">C48*(I48/H48)</f>
        <v>12.50018</v>
      </c>
    </row>
    <row r="49" customFormat="false" ht="15" hidden="false" customHeight="false" outlineLevel="0" collapsed="false">
      <c r="A49" s="2"/>
      <c r="B49" s="37" t="s">
        <v>61</v>
      </c>
      <c r="C49" s="37" t="n">
        <v>12.2</v>
      </c>
      <c r="D49" s="37" t="n">
        <v>342.87</v>
      </c>
      <c r="E49" s="24" t="n">
        <f aca="false">C49*1000000/(660*D49)</f>
        <v>53.9121197096523</v>
      </c>
      <c r="F49" s="25" t="n">
        <f aca="false">C$14/(E49/C$12)</f>
        <v>1.08200778688525</v>
      </c>
      <c r="G49" s="26" t="s">
        <v>29</v>
      </c>
      <c r="H49" s="27" t="n">
        <v>1</v>
      </c>
      <c r="I49" s="28" t="n">
        <f aca="false">F49*H49</f>
        <v>1.08200778688525</v>
      </c>
      <c r="J49" s="29" t="n">
        <f aca="false">C49*(I49/H49)</f>
        <v>13.200495</v>
      </c>
    </row>
    <row r="50" customFormat="false" ht="15" hidden="false" customHeight="false" outlineLevel="0" collapsed="false">
      <c r="A50" s="2"/>
      <c r="B50" s="37" t="s">
        <v>62</v>
      </c>
      <c r="C50" s="37" t="n">
        <v>8.87</v>
      </c>
      <c r="D50" s="37" t="n">
        <v>360.81</v>
      </c>
      <c r="E50" s="24" t="n">
        <f aca="false">C50*1000000/(660*D50)</f>
        <v>37.2478421867297</v>
      </c>
      <c r="F50" s="25" t="n">
        <f aca="false">C$14/(E50/C$12)</f>
        <v>1.56608624577227</v>
      </c>
      <c r="G50" s="26" t="s">
        <v>29</v>
      </c>
      <c r="H50" s="27" t="n">
        <v>1</v>
      </c>
      <c r="I50" s="28" t="n">
        <f aca="false">F50*H50</f>
        <v>1.56608624577227</v>
      </c>
      <c r="J50" s="29" t="n">
        <f aca="false">C50*(I50/H50)</f>
        <v>13.891185</v>
      </c>
    </row>
    <row r="51" customFormat="false" ht="15" hidden="false" customHeight="false" outlineLevel="0" collapsed="false">
      <c r="A51" s="2"/>
      <c r="B51" s="22" t="s">
        <v>63</v>
      </c>
      <c r="C51" s="23" t="n">
        <v>3.85</v>
      </c>
      <c r="D51" s="23" t="n">
        <v>350.85</v>
      </c>
      <c r="E51" s="24" t="n">
        <f aca="false">C51*1000000/(660*D51)</f>
        <v>16.6262885373616</v>
      </c>
      <c r="F51" s="25" t="n">
        <f aca="false">C$14/(E51/C$12)</f>
        <v>3.5085</v>
      </c>
      <c r="G51" s="26" t="s">
        <v>29</v>
      </c>
      <c r="H51" s="27" t="n">
        <v>1</v>
      </c>
      <c r="I51" s="28" t="n">
        <f aca="false">F51*H51</f>
        <v>3.5085</v>
      </c>
      <c r="J51" s="29" t="n">
        <f aca="false">C51*(I51/H51)</f>
        <v>13.507725</v>
      </c>
    </row>
    <row r="52" customFormat="false" ht="15" hidden="false" customHeight="false" outlineLevel="0" collapsed="false">
      <c r="A52" s="2"/>
      <c r="B52" s="22" t="s">
        <v>64</v>
      </c>
      <c r="C52" s="23" t="n">
        <v>5.28</v>
      </c>
      <c r="D52" s="23" t="n">
        <v>348.69</v>
      </c>
      <c r="E52" s="24" t="n">
        <f aca="false">C52*1000000/(660*D52)</f>
        <v>22.9430152857839</v>
      </c>
      <c r="F52" s="25" t="n">
        <f aca="false">C$14/(E52/C$12)</f>
        <v>2.54253125</v>
      </c>
      <c r="G52" s="26" t="s">
        <v>29</v>
      </c>
      <c r="H52" s="27" t="n">
        <v>1</v>
      </c>
      <c r="I52" s="28" t="n">
        <f aca="false">F52*H52</f>
        <v>2.54253125</v>
      </c>
      <c r="J52" s="29" t="n">
        <f aca="false">C52*(I52/H52)</f>
        <v>13.424565</v>
      </c>
    </row>
    <row r="53" customFormat="false" ht="15" hidden="false" customHeight="false" outlineLevel="0" collapsed="false">
      <c r="A53" s="38"/>
      <c r="E53" s="38"/>
      <c r="F53" s="2"/>
      <c r="G53" s="2"/>
      <c r="H53" s="39" t="s">
        <v>65</v>
      </c>
      <c r="I53" s="40" t="n">
        <f aca="false">SUM(I17:I52)</f>
        <v>60.3010418688621</v>
      </c>
      <c r="J53" s="41"/>
    </row>
    <row r="54" customFormat="false" ht="15" hidden="false" customHeight="false" outlineLevel="0" collapsed="false">
      <c r="A54" s="38"/>
      <c r="E54" s="38"/>
      <c r="F54" s="2"/>
      <c r="G54" s="2"/>
      <c r="H54" s="42" t="s">
        <v>66</v>
      </c>
      <c r="I54" s="43" t="n">
        <f aca="false">C14-I53</f>
        <v>9.69895813113786</v>
      </c>
      <c r="J54" s="44" t="s">
        <v>67</v>
      </c>
    </row>
    <row r="55" customFormat="false" ht="15" hidden="false" customHeight="false" outlineLevel="0" collapsed="false">
      <c r="A55" s="38"/>
      <c r="E55" s="38"/>
      <c r="F55" s="2"/>
      <c r="G55" s="2"/>
      <c r="H55" s="45" t="s">
        <v>68</v>
      </c>
      <c r="I55" s="46" t="n">
        <f aca="false">SUM(I53:I54)</f>
        <v>70</v>
      </c>
      <c r="J55" s="47"/>
    </row>
    <row r="56" customFormat="false" ht="15" hidden="false" customHeight="false" outlineLevel="0" collapsed="false">
      <c r="A56" s="3"/>
      <c r="E56" s="2"/>
      <c r="F56" s="2"/>
      <c r="G56" s="2"/>
      <c r="H56" s="2" t="s">
        <v>69</v>
      </c>
      <c r="I56" s="48" t="n">
        <f aca="false">SUM(J17:J52)/I55</f>
        <v>6.8142965</v>
      </c>
      <c r="J56" s="2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H1:H1048576">
    <cfRule type="cellIs" priority="2" operator="equal" aboveAverage="0" equalAverage="0" bottom="0" percent="0" rank="0" text="" dxfId="0">
      <formula>2</formula>
    </cfRule>
  </conditionalFormatting>
  <printOptions headings="false" gridLines="false" gridLinesSet="true" horizontalCentered="false" verticalCentered="false"/>
  <pageMargins left="0.7875" right="0.7875" top="1.05416666666667" bottom="1.05416666666667" header="0.7875" footer="0.787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B20" colorId="64" zoomScale="100" zoomScaleNormal="100" zoomScalePageLayoutView="100" workbookViewId="0">
      <selection pane="topLeft" activeCell="M56" activeCellId="0" sqref="B10:M56"/>
    </sheetView>
  </sheetViews>
  <sheetFormatPr defaultColWidth="10.52734375" defaultRowHeight="15" zeroHeight="false" outlineLevelRow="0" outlineLevelCol="0"/>
  <cols>
    <col collapsed="false" customWidth="true" hidden="false" outlineLevel="0" max="1" min="1" style="0" width="10.83"/>
    <col collapsed="false" customWidth="true" hidden="false" outlineLevel="0" max="2" min="2" style="0" width="33.66"/>
    <col collapsed="false" customWidth="true" hidden="false" outlineLevel="0" max="3" min="3" style="0" width="12.41"/>
    <col collapsed="false" customWidth="true" hidden="false" outlineLevel="0" max="6" min="4" style="0" width="10.83"/>
    <col collapsed="false" customWidth="true" hidden="false" outlineLevel="0" max="7" min="7" style="0" width="13.67"/>
    <col collapsed="false" customWidth="true" hidden="false" outlineLevel="0" max="12" min="8" style="0" width="10.83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false" outlineLevel="0" collapsed="false">
      <c r="A4" s="2"/>
      <c r="B4" s="3" t="s">
        <v>2</v>
      </c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2"/>
      <c r="B5" s="3" t="s">
        <v>3</v>
      </c>
      <c r="C5" s="3"/>
      <c r="D5" s="3"/>
      <c r="E5" s="3"/>
      <c r="F5" s="3"/>
      <c r="G5" s="3"/>
      <c r="H5" s="3"/>
      <c r="I5" s="3"/>
      <c r="J5" s="3"/>
    </row>
    <row r="6" customFormat="false" ht="15" hidden="false" customHeight="false" outlineLevel="0" collapsed="false">
      <c r="A6" s="2"/>
      <c r="B6" s="3" t="s">
        <v>4</v>
      </c>
      <c r="C6" s="3"/>
      <c r="D6" s="3"/>
      <c r="E6" s="3"/>
      <c r="F6" s="3"/>
      <c r="G6" s="3"/>
      <c r="H6" s="3"/>
      <c r="I6" s="3"/>
      <c r="J6" s="3"/>
    </row>
    <row r="7" customFormat="false" ht="15" hidden="false" customHeight="false" outlineLevel="0" collapsed="false">
      <c r="A7" s="2"/>
      <c r="B7" s="3" t="s">
        <v>5</v>
      </c>
      <c r="C7" s="3"/>
      <c r="D7" s="3"/>
      <c r="E7" s="3"/>
      <c r="F7" s="3"/>
      <c r="G7" s="3"/>
      <c r="H7" s="3"/>
      <c r="I7" s="3"/>
      <c r="J7" s="3"/>
    </row>
    <row r="8" customFormat="false" ht="15" hidden="false" customHeight="false" outlineLevel="0" collapsed="false">
      <c r="A8" s="2"/>
      <c r="B8" s="3" t="s">
        <v>6</v>
      </c>
      <c r="C8" s="3"/>
      <c r="D8" s="3"/>
      <c r="E8" s="3"/>
      <c r="F8" s="3"/>
      <c r="G8" s="3"/>
      <c r="H8" s="3"/>
      <c r="I8" s="3"/>
      <c r="J8" s="3"/>
    </row>
    <row r="9" customFormat="false" ht="15" hidden="false" customHeight="false" outlineLevel="0" collapsed="false">
      <c r="A9" s="2"/>
      <c r="B9" s="2"/>
      <c r="C9" s="3"/>
      <c r="D9" s="3"/>
      <c r="E9" s="3"/>
      <c r="F9" s="3"/>
      <c r="G9" s="3"/>
      <c r="H9" s="3"/>
      <c r="I9" s="3"/>
      <c r="J9" s="3"/>
    </row>
    <row r="10" customFormat="false" ht="36.15" hidden="false" customHeight="false" outlineLevel="0" collapsed="false">
      <c r="A10" s="2"/>
      <c r="B10" s="4" t="s">
        <v>7</v>
      </c>
      <c r="C10" s="5" t="s">
        <v>70</v>
      </c>
      <c r="D10" s="3"/>
      <c r="E10" s="3"/>
      <c r="F10" s="3"/>
      <c r="G10" s="3"/>
      <c r="H10" s="3"/>
      <c r="I10" s="3"/>
      <c r="J10" s="3"/>
    </row>
    <row r="11" customFormat="false" ht="15" hidden="false" customHeight="false" outlineLevel="0" collapsed="false">
      <c r="A11" s="2"/>
      <c r="B11" s="6" t="s">
        <v>9</v>
      </c>
      <c r="C11" s="7" t="n">
        <v>36</v>
      </c>
      <c r="D11" s="3" t="s">
        <v>10</v>
      </c>
      <c r="E11" s="3"/>
      <c r="G11" s="3" t="s">
        <v>11</v>
      </c>
      <c r="H11" s="3" t="n">
        <f aca="false">MIN(I17:I52)</f>
        <v>0.999842896174863</v>
      </c>
      <c r="I11" s="3"/>
      <c r="J11" s="3"/>
    </row>
    <row r="12" customFormat="false" ht="15" hidden="false" customHeight="false" outlineLevel="0" collapsed="false">
      <c r="A12" s="2"/>
      <c r="B12" s="9" t="s">
        <v>12</v>
      </c>
      <c r="C12" s="10" t="n">
        <f aca="false">C13/C11</f>
        <v>0.833333333333333</v>
      </c>
      <c r="D12" s="3" t="s">
        <v>13</v>
      </c>
      <c r="E12" s="3"/>
      <c r="G12" s="3" t="s">
        <v>14</v>
      </c>
      <c r="H12" s="3" t="n">
        <f aca="false">MAX(I17:I52)</f>
        <v>3.65046634615385</v>
      </c>
      <c r="I12" s="3"/>
      <c r="J12" s="3"/>
    </row>
    <row r="13" customFormat="false" ht="15" hidden="false" customHeight="false" outlineLevel="0" collapsed="false">
      <c r="A13" s="2"/>
      <c r="B13" s="11" t="s">
        <v>15</v>
      </c>
      <c r="C13" s="12" t="n">
        <v>30</v>
      </c>
      <c r="D13" s="3" t="s">
        <v>10</v>
      </c>
      <c r="E13" s="3"/>
      <c r="F13" s="3"/>
      <c r="G13" s="3"/>
      <c r="H13" s="3"/>
      <c r="I13" s="3"/>
      <c r="J13" s="3"/>
    </row>
    <row r="14" customFormat="false" ht="15" hidden="false" customHeight="false" outlineLevel="0" collapsed="false">
      <c r="A14" s="2"/>
      <c r="B14" s="13" t="s">
        <v>16</v>
      </c>
      <c r="C14" s="14" t="n">
        <v>70</v>
      </c>
      <c r="D14" s="3" t="s">
        <v>10</v>
      </c>
      <c r="E14" s="3"/>
      <c r="F14" s="3"/>
      <c r="G14" s="3"/>
      <c r="H14" s="3"/>
      <c r="I14" s="3"/>
      <c r="J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customFormat="false" ht="36.15" hidden="false" customHeight="false" outlineLevel="0" collapsed="false">
      <c r="A16" s="2"/>
      <c r="B16" s="15" t="s">
        <v>17</v>
      </c>
      <c r="C16" s="16" t="s">
        <v>18</v>
      </c>
      <c r="D16" s="16" t="s">
        <v>19</v>
      </c>
      <c r="E16" s="16" t="s">
        <v>20</v>
      </c>
      <c r="F16" s="17" t="s">
        <v>21</v>
      </c>
      <c r="G16" s="18" t="s">
        <v>22</v>
      </c>
      <c r="H16" s="19" t="s">
        <v>23</v>
      </c>
      <c r="I16" s="20" t="s">
        <v>24</v>
      </c>
      <c r="J16" s="21" t="s">
        <v>25</v>
      </c>
      <c r="L16" s="0" t="s">
        <v>26</v>
      </c>
      <c r="M16" s="0" t="s">
        <v>27</v>
      </c>
    </row>
    <row r="17" s="53" customFormat="true" ht="15" hidden="false" customHeight="false" outlineLevel="0" collapsed="false">
      <c r="A17" s="49"/>
      <c r="B17" s="50" t="s">
        <v>71</v>
      </c>
      <c r="C17" s="51" t="n">
        <v>4.09</v>
      </c>
      <c r="D17" s="51" t="n">
        <v>220.95</v>
      </c>
      <c r="E17" s="24" t="n">
        <f aca="false">C17*1000000/(660*D17)</f>
        <v>28.0469323239181</v>
      </c>
      <c r="F17" s="25" t="n">
        <f aca="false">C$14/(E17/C$12)</f>
        <v>2.07984718826406</v>
      </c>
      <c r="G17" s="26" t="s">
        <v>29</v>
      </c>
      <c r="H17" s="27" t="n">
        <v>1</v>
      </c>
      <c r="I17" s="28" t="n">
        <f aca="false">F17*H17</f>
        <v>2.07984718826406</v>
      </c>
      <c r="J17" s="52" t="n">
        <f aca="false">C17*(I17/H17)</f>
        <v>8.506575</v>
      </c>
    </row>
    <row r="18" customFormat="false" ht="15" hidden="false" customHeight="false" outlineLevel="0" collapsed="false">
      <c r="A18" s="2"/>
      <c r="B18" s="22" t="s">
        <v>72</v>
      </c>
      <c r="C18" s="23" t="n">
        <v>3.26</v>
      </c>
      <c r="D18" s="23" t="n">
        <v>208.71</v>
      </c>
      <c r="E18" s="24" t="n">
        <f aca="false">C18*1000000/(660*D18)</f>
        <v>23.6663022346507</v>
      </c>
      <c r="F18" s="25" t="n">
        <f aca="false">C$14/(E18/C$12)</f>
        <v>2.46482668711656</v>
      </c>
      <c r="G18" s="26" t="s">
        <v>29</v>
      </c>
      <c r="H18" s="27" t="n">
        <v>1</v>
      </c>
      <c r="I18" s="28" t="n">
        <f aca="false">F18*H18</f>
        <v>2.46482668711656</v>
      </c>
      <c r="J18" s="29" t="n">
        <f aca="false">C18*(I18/H18)</f>
        <v>8.035335</v>
      </c>
    </row>
    <row r="19" customFormat="false" ht="15" hidden="false" customHeight="false" outlineLevel="0" collapsed="false">
      <c r="A19" s="2"/>
      <c r="B19" s="22" t="s">
        <v>73</v>
      </c>
      <c r="C19" s="23" t="n">
        <v>6.18</v>
      </c>
      <c r="D19" s="23" t="n">
        <v>171.64</v>
      </c>
      <c r="E19" s="24" t="n">
        <f aca="false">C19*1000000/(660*D19)</f>
        <v>54.5539289421834</v>
      </c>
      <c r="F19" s="25" t="n">
        <f aca="false">C$14/(E19/C$12)</f>
        <v>1.0692783171521</v>
      </c>
      <c r="G19" s="26" t="s">
        <v>29</v>
      </c>
      <c r="H19" s="27" t="n">
        <v>1</v>
      </c>
      <c r="I19" s="28" t="n">
        <f aca="false">F19*H19</f>
        <v>1.0692783171521</v>
      </c>
      <c r="J19" s="29" t="n">
        <f aca="false">C19*(I19/H19)</f>
        <v>6.60814</v>
      </c>
    </row>
    <row r="20" customFormat="false" ht="15" hidden="false" customHeight="false" outlineLevel="0" collapsed="false">
      <c r="A20" s="2"/>
      <c r="B20" s="22" t="s">
        <v>74</v>
      </c>
      <c r="C20" s="23" t="n">
        <v>3.26</v>
      </c>
      <c r="D20" s="23" t="n">
        <v>200.26</v>
      </c>
      <c r="E20" s="24" t="n">
        <f aca="false">C20*1000000/(660*D20)</f>
        <v>24.6649053200536</v>
      </c>
      <c r="F20" s="25" t="n">
        <f aca="false">C$14/(E20/C$12)</f>
        <v>2.36503374233129</v>
      </c>
      <c r="G20" s="26" t="s">
        <v>29</v>
      </c>
      <c r="H20" s="27" t="n">
        <v>1</v>
      </c>
      <c r="I20" s="28" t="n">
        <f aca="false">F20*H20</f>
        <v>2.36503374233129</v>
      </c>
      <c r="J20" s="29" t="n">
        <f aca="false">C20*(I20/H20)</f>
        <v>7.71001</v>
      </c>
    </row>
    <row r="21" customFormat="false" ht="15" hidden="false" customHeight="false" outlineLevel="0" collapsed="false">
      <c r="A21" s="2"/>
      <c r="B21" s="22" t="s">
        <v>75</v>
      </c>
      <c r="C21" s="23" t="n">
        <v>8.79</v>
      </c>
      <c r="D21" s="23" t="n">
        <v>170.07</v>
      </c>
      <c r="E21" s="24" t="n">
        <f aca="false">C21*1000000/(660*D21)</f>
        <v>78.310000694901</v>
      </c>
      <c r="F21" s="25" t="n">
        <f aca="false">C$14/(E21/C$12)</f>
        <v>0.744902730375427</v>
      </c>
      <c r="G21" s="26" t="s">
        <v>29</v>
      </c>
      <c r="H21" s="27" t="n">
        <v>2</v>
      </c>
      <c r="I21" s="28" t="n">
        <f aca="false">F21*H21</f>
        <v>1.48980546075085</v>
      </c>
      <c r="J21" s="29" t="n">
        <f aca="false">C21*(I21/H21)</f>
        <v>6.547695</v>
      </c>
      <c r="K21" s="22" t="s">
        <v>76</v>
      </c>
      <c r="L21" s="0" t="n">
        <v>1.5</v>
      </c>
      <c r="M21" s="0" t="n">
        <v>1.5</v>
      </c>
    </row>
    <row r="22" customFormat="false" ht="15" hidden="false" customHeight="false" outlineLevel="0" collapsed="false">
      <c r="A22" s="2"/>
      <c r="B22" s="22" t="s">
        <v>77</v>
      </c>
      <c r="C22" s="23" t="n">
        <v>4.04</v>
      </c>
      <c r="D22" s="23" t="n">
        <v>190.85</v>
      </c>
      <c r="E22" s="24" t="n">
        <f aca="false">C22*1000000/(660*D22)</f>
        <v>32.0734195504958</v>
      </c>
      <c r="F22" s="25" t="n">
        <f aca="false">C$14/(E22/C$12)</f>
        <v>1.81874381188119</v>
      </c>
      <c r="G22" s="26" t="s">
        <v>29</v>
      </c>
      <c r="H22" s="27" t="n">
        <v>1</v>
      </c>
      <c r="I22" s="28" t="n">
        <f aca="false">F22*H22</f>
        <v>1.81874381188119</v>
      </c>
      <c r="J22" s="29" t="n">
        <f aca="false">C22*(I22/H22)</f>
        <v>7.347725</v>
      </c>
    </row>
    <row r="23" customFormat="false" ht="15" hidden="false" customHeight="false" outlineLevel="0" collapsed="false">
      <c r="A23" s="2"/>
      <c r="B23" s="22" t="s">
        <v>78</v>
      </c>
      <c r="C23" s="23" t="n">
        <v>5.07</v>
      </c>
      <c r="D23" s="23" t="n">
        <v>174.85</v>
      </c>
      <c r="E23" s="24" t="n">
        <f aca="false">C23*1000000/(660*D23)</f>
        <v>43.9337614058804</v>
      </c>
      <c r="F23" s="25" t="n">
        <f aca="false">C$14/(E23/C$12)</f>
        <v>1.32775641025641</v>
      </c>
      <c r="G23" s="26" t="s">
        <v>29</v>
      </c>
      <c r="H23" s="27" t="n">
        <v>1</v>
      </c>
      <c r="I23" s="28" t="n">
        <f aca="false">F23*H23</f>
        <v>1.32775641025641</v>
      </c>
      <c r="J23" s="29" t="n">
        <f aca="false">C23*(I23/H23)</f>
        <v>6.731725</v>
      </c>
    </row>
    <row r="24" s="35" customFormat="true" ht="15" hidden="false" customHeight="false" outlineLevel="0" collapsed="false">
      <c r="A24" s="31"/>
      <c r="B24" s="32" t="s">
        <v>79</v>
      </c>
      <c r="C24" s="33" t="n">
        <v>4.65</v>
      </c>
      <c r="D24" s="33" t="n">
        <v>180.25</v>
      </c>
      <c r="E24" s="24" t="n">
        <f aca="false">C24*1000000/(660*D24)</f>
        <v>39.0871264657672</v>
      </c>
      <c r="F24" s="25" t="n">
        <f aca="false">C$14/(E24/C$12)</f>
        <v>1.49239247311828</v>
      </c>
      <c r="G24" s="26" t="s">
        <v>29</v>
      </c>
      <c r="H24" s="27" t="n">
        <v>1</v>
      </c>
      <c r="I24" s="28" t="n">
        <f aca="false">F24*H24</f>
        <v>1.49239247311828</v>
      </c>
      <c r="J24" s="34" t="n">
        <f aca="false">C24*(I24/H24)</f>
        <v>6.939625</v>
      </c>
    </row>
    <row r="25" customFormat="false" ht="15" hidden="false" customHeight="false" outlineLevel="0" collapsed="false">
      <c r="A25" s="2"/>
      <c r="B25" s="22" t="s">
        <v>80</v>
      </c>
      <c r="C25" s="23" t="n">
        <v>6.18</v>
      </c>
      <c r="D25" s="23" t="n">
        <v>176.25</v>
      </c>
      <c r="E25" s="24" t="n">
        <f aca="false">C25*1000000/(660*D25)</f>
        <v>53.1270148291425</v>
      </c>
      <c r="F25" s="25" t="n">
        <f aca="false">C$14/(E25/C$12)</f>
        <v>1.09799757281553</v>
      </c>
      <c r="G25" s="26" t="s">
        <v>29</v>
      </c>
      <c r="H25" s="27" t="n">
        <v>1</v>
      </c>
      <c r="I25" s="28" t="n">
        <f aca="false">F25*H25</f>
        <v>1.09799757281553</v>
      </c>
      <c r="J25" s="29" t="n">
        <f aca="false">C25*(I25/H25)</f>
        <v>6.785625</v>
      </c>
    </row>
    <row r="26" customFormat="false" ht="15" hidden="false" customHeight="false" outlineLevel="0" collapsed="false">
      <c r="A26" s="2"/>
      <c r="B26" s="22" t="s">
        <v>81</v>
      </c>
      <c r="C26" s="23" t="n">
        <v>4.84</v>
      </c>
      <c r="D26" s="23" t="n">
        <v>187.31</v>
      </c>
      <c r="E26" s="24" t="n">
        <f aca="false">C26*1000000/(660*D26)</f>
        <v>39.1507839054686</v>
      </c>
      <c r="F26" s="25" t="n">
        <f aca="false">C$14/(E26/C$12)</f>
        <v>1.48996590909091</v>
      </c>
      <c r="G26" s="26" t="s">
        <v>29</v>
      </c>
      <c r="H26" s="27" t="n">
        <v>1</v>
      </c>
      <c r="I26" s="28" t="n">
        <f aca="false">F26*H26</f>
        <v>1.48996590909091</v>
      </c>
      <c r="J26" s="29" t="n">
        <f aca="false">C26*(I26/H26)</f>
        <v>7.211435</v>
      </c>
    </row>
    <row r="27" customFormat="false" ht="15" hidden="false" customHeight="false" outlineLevel="0" collapsed="false">
      <c r="A27" s="2"/>
      <c r="B27" s="22" t="s">
        <v>82</v>
      </c>
      <c r="C27" s="23" t="n">
        <v>4.94</v>
      </c>
      <c r="D27" s="23" t="n">
        <v>175.03</v>
      </c>
      <c r="E27" s="24" t="n">
        <f aca="false">C27*1000000/(660*D27)</f>
        <v>42.7632319308032</v>
      </c>
      <c r="F27" s="25" t="n">
        <f aca="false">C$14/(E27/C$12)</f>
        <v>1.36410020242915</v>
      </c>
      <c r="G27" s="26" t="s">
        <v>29</v>
      </c>
      <c r="H27" s="27" t="n">
        <v>1</v>
      </c>
      <c r="I27" s="28" t="n">
        <f aca="false">F27*H27</f>
        <v>1.36410020242915</v>
      </c>
      <c r="J27" s="29" t="n">
        <f aca="false">C27*(I27/H27)</f>
        <v>6.738655</v>
      </c>
    </row>
    <row r="28" customFormat="false" ht="15" hidden="false" customHeight="false" outlineLevel="0" collapsed="false">
      <c r="A28" s="2"/>
      <c r="B28" s="22" t="s">
        <v>83</v>
      </c>
      <c r="C28" s="23" t="n">
        <v>6.91</v>
      </c>
      <c r="D28" s="23" t="n">
        <v>203.88</v>
      </c>
      <c r="E28" s="24" t="n">
        <f aca="false">C28*1000000/(660*D28)</f>
        <v>51.3522511756767</v>
      </c>
      <c r="F28" s="25" t="n">
        <f aca="false">C$14/(E28/C$12)</f>
        <v>1.13594500723589</v>
      </c>
      <c r="G28" s="26" t="s">
        <v>29</v>
      </c>
      <c r="H28" s="27" t="n">
        <v>1</v>
      </c>
      <c r="I28" s="28" t="n">
        <f aca="false">F28*H28</f>
        <v>1.13594500723589</v>
      </c>
      <c r="J28" s="29" t="n">
        <f aca="false">C28*(I28/H28)</f>
        <v>7.84938</v>
      </c>
    </row>
    <row r="29" customFormat="false" ht="15" hidden="false" customHeight="false" outlineLevel="0" collapsed="false">
      <c r="A29" s="2"/>
      <c r="B29" s="22" t="s">
        <v>84</v>
      </c>
      <c r="C29" s="23" t="n">
        <v>5.92</v>
      </c>
      <c r="D29" s="23" t="n">
        <v>193.75</v>
      </c>
      <c r="E29" s="24" t="n">
        <f aca="false">C29*1000000/(660*D29)</f>
        <v>46.2952101661779</v>
      </c>
      <c r="F29" s="25" t="n">
        <f aca="false">C$14/(E29/C$12)</f>
        <v>1.26002956081081</v>
      </c>
      <c r="G29" s="26" t="s">
        <v>29</v>
      </c>
      <c r="H29" s="27" t="n">
        <v>1</v>
      </c>
      <c r="I29" s="28" t="n">
        <f aca="false">F29*H29</f>
        <v>1.26002956081081</v>
      </c>
      <c r="J29" s="29" t="n">
        <f aca="false">C29*(I29/H29)</f>
        <v>7.459375</v>
      </c>
    </row>
    <row r="30" customFormat="false" ht="15" hidden="false" customHeight="false" outlineLevel="0" collapsed="false">
      <c r="A30" s="2"/>
      <c r="B30" s="22" t="s">
        <v>85</v>
      </c>
      <c r="C30" s="23" t="n">
        <v>3.82</v>
      </c>
      <c r="D30" s="23" t="n">
        <v>210.46</v>
      </c>
      <c r="E30" s="24" t="n">
        <f aca="false">C30*1000000/(660*D30)</f>
        <v>27.501087084856</v>
      </c>
      <c r="F30" s="25" t="n">
        <f aca="false">C$14/(E30/C$12)</f>
        <v>2.12112827225131</v>
      </c>
      <c r="G30" s="26" t="s">
        <v>29</v>
      </c>
      <c r="H30" s="27" t="n">
        <v>1</v>
      </c>
      <c r="I30" s="28" t="n">
        <f aca="false">F30*H30</f>
        <v>2.12112827225131</v>
      </c>
      <c r="J30" s="29" t="n">
        <f aca="false">C30*(I30/H30)</f>
        <v>8.10271</v>
      </c>
    </row>
    <row r="31" customFormat="false" ht="15" hidden="false" customHeight="false" outlineLevel="0" collapsed="false">
      <c r="A31" s="2"/>
      <c r="B31" s="22" t="s">
        <v>86</v>
      </c>
      <c r="C31" s="23" t="n">
        <v>5.54</v>
      </c>
      <c r="D31" s="23" t="n">
        <v>198.35</v>
      </c>
      <c r="E31" s="24" t="n">
        <f aca="false">C31*1000000/(660*D31)</f>
        <v>42.3188272948797</v>
      </c>
      <c r="F31" s="25" t="n">
        <f aca="false">C$14/(E31/C$12)</f>
        <v>1.37842509025271</v>
      </c>
      <c r="G31" s="26" t="s">
        <v>29</v>
      </c>
      <c r="H31" s="27" t="n">
        <v>1</v>
      </c>
      <c r="I31" s="28" t="n">
        <f aca="false">F31*H31</f>
        <v>1.37842509025271</v>
      </c>
      <c r="J31" s="29" t="n">
        <f aca="false">C31*(I31/H31)</f>
        <v>7.636475</v>
      </c>
    </row>
    <row r="32" s="35" customFormat="true" ht="15" hidden="false" customHeight="false" outlineLevel="0" collapsed="false">
      <c r="A32" s="31"/>
      <c r="B32" s="32" t="s">
        <v>87</v>
      </c>
      <c r="C32" s="33" t="n">
        <v>5.16</v>
      </c>
      <c r="D32" s="33" t="n">
        <v>243.72</v>
      </c>
      <c r="E32" s="24" t="n">
        <f aca="false">C32*1000000/(660*D32)</f>
        <v>32.078540202617</v>
      </c>
      <c r="F32" s="25" t="n">
        <f aca="false">C$14/(E32/C$12)</f>
        <v>1.81845348837209</v>
      </c>
      <c r="G32" s="26" t="s">
        <v>29</v>
      </c>
      <c r="H32" s="27" t="n">
        <v>1</v>
      </c>
      <c r="I32" s="28" t="n">
        <f aca="false">F32*H32</f>
        <v>1.81845348837209</v>
      </c>
      <c r="J32" s="34" t="n">
        <f aca="false">C32*(I32/H32)</f>
        <v>9.38322</v>
      </c>
    </row>
    <row r="33" customFormat="false" ht="15" hidden="false" customHeight="false" outlineLevel="0" collapsed="false">
      <c r="A33" s="2"/>
      <c r="B33" s="22" t="s">
        <v>88</v>
      </c>
      <c r="C33" s="23" t="n">
        <v>5.9</v>
      </c>
      <c r="D33" s="23" t="n">
        <v>200.22</v>
      </c>
      <c r="E33" s="24" t="n">
        <f aca="false">C33*1000000/(660*D33)</f>
        <v>44.6478570542101</v>
      </c>
      <c r="F33" s="25" t="n">
        <f aca="false">C$14/(E33/C$12)</f>
        <v>1.30652033898305</v>
      </c>
      <c r="G33" s="26" t="s">
        <v>29</v>
      </c>
      <c r="H33" s="27" t="n">
        <v>1</v>
      </c>
      <c r="I33" s="28" t="n">
        <f aca="false">F33*H33</f>
        <v>1.30652033898305</v>
      </c>
      <c r="J33" s="29" t="n">
        <f aca="false">C33*(I33/H33)</f>
        <v>7.70847</v>
      </c>
    </row>
    <row r="34" customFormat="false" ht="15" hidden="false" customHeight="false" outlineLevel="0" collapsed="false">
      <c r="A34" s="2"/>
      <c r="B34" s="22" t="s">
        <v>89</v>
      </c>
      <c r="C34" s="23" t="n">
        <v>5.77</v>
      </c>
      <c r="D34" s="23" t="n">
        <v>189.43</v>
      </c>
      <c r="E34" s="24" t="n">
        <f aca="false">C34*1000000/(660*D34)</f>
        <v>46.1512128090812</v>
      </c>
      <c r="F34" s="25" t="n">
        <f aca="false">C$14/(E34/C$12)</f>
        <v>1.26396100519931</v>
      </c>
      <c r="G34" s="26" t="s">
        <v>29</v>
      </c>
      <c r="H34" s="27" t="n">
        <v>1</v>
      </c>
      <c r="I34" s="28" t="n">
        <f aca="false">F34*H34</f>
        <v>1.26396100519931</v>
      </c>
      <c r="J34" s="29" t="n">
        <f aca="false">C34*(I34/H34)</f>
        <v>7.293055</v>
      </c>
    </row>
    <row r="35" customFormat="false" ht="15" hidden="false" customHeight="false" outlineLevel="0" collapsed="false">
      <c r="A35" s="2"/>
      <c r="B35" s="22" t="s">
        <v>90</v>
      </c>
      <c r="C35" s="23" t="n">
        <v>5.49</v>
      </c>
      <c r="D35" s="23" t="n">
        <v>179.49</v>
      </c>
      <c r="E35" s="24" t="n">
        <f aca="false">C35*1000000/(660*D35)</f>
        <v>46.3434275902937</v>
      </c>
      <c r="F35" s="25" t="n">
        <f aca="false">C$14/(E35/C$12)</f>
        <v>1.25871857923497</v>
      </c>
      <c r="G35" s="26" t="s">
        <v>29</v>
      </c>
      <c r="H35" s="27" t="n">
        <v>1</v>
      </c>
      <c r="I35" s="28" t="n">
        <f aca="false">F35*H35</f>
        <v>1.25871857923497</v>
      </c>
      <c r="J35" s="29" t="n">
        <f aca="false">C35*(I35/H35)</f>
        <v>6.910365</v>
      </c>
    </row>
    <row r="36" customFormat="false" ht="15" hidden="false" customHeight="false" outlineLevel="0" collapsed="false">
      <c r="A36" s="2"/>
      <c r="B36" s="22" t="s">
        <v>91</v>
      </c>
      <c r="C36" s="23" t="n">
        <v>5.86</v>
      </c>
      <c r="D36" s="23" t="n">
        <v>209.15</v>
      </c>
      <c r="E36" s="24" t="n">
        <f aca="false">C36*1000000/(660*D36)</f>
        <v>42.4517708763465</v>
      </c>
      <c r="F36" s="25" t="n">
        <f aca="false">C$14/(E36/C$12)</f>
        <v>1.37410836177474</v>
      </c>
      <c r="G36" s="26" t="s">
        <v>29</v>
      </c>
      <c r="H36" s="27" t="n">
        <v>1</v>
      </c>
      <c r="I36" s="28" t="n">
        <f aca="false">F36*H36</f>
        <v>1.37410836177474</v>
      </c>
      <c r="J36" s="29" t="n">
        <f aca="false">C36*(I36/H36)</f>
        <v>8.052275</v>
      </c>
    </row>
    <row r="37" customFormat="false" ht="15" hidden="false" customHeight="false" outlineLevel="0" collapsed="false">
      <c r="A37" s="2"/>
      <c r="B37" s="22" t="s">
        <v>92</v>
      </c>
      <c r="C37" s="23" t="n">
        <v>7.32</v>
      </c>
      <c r="D37" s="23" t="n">
        <v>190.1</v>
      </c>
      <c r="E37" s="24" t="n">
        <f aca="false">C37*1000000/(660*D37)</f>
        <v>58.3424991631199</v>
      </c>
      <c r="F37" s="25" t="n">
        <f aca="false">C$14/(E37/C$12)</f>
        <v>0.999842896174863</v>
      </c>
      <c r="G37" s="26" t="s">
        <v>29</v>
      </c>
      <c r="H37" s="27" t="n">
        <v>1</v>
      </c>
      <c r="I37" s="28" t="n">
        <f aca="false">F37*H37</f>
        <v>0.999842896174863</v>
      </c>
      <c r="J37" s="29" t="n">
        <f aca="false">C37*(I37/H37)</f>
        <v>7.31885</v>
      </c>
    </row>
    <row r="38" customFormat="false" ht="15" hidden="false" customHeight="false" outlineLevel="0" collapsed="false">
      <c r="A38" s="2"/>
      <c r="B38" s="22" t="s">
        <v>93</v>
      </c>
      <c r="C38" s="23" t="n">
        <v>6.32</v>
      </c>
      <c r="D38" s="23" t="n">
        <v>176.6</v>
      </c>
      <c r="E38" s="24" t="n">
        <f aca="false">C38*1000000/(660*D38)</f>
        <v>54.2228628298844</v>
      </c>
      <c r="F38" s="25" t="n">
        <f aca="false">C$14/(E38/C$12)</f>
        <v>1.07580696202532</v>
      </c>
      <c r="G38" s="26" t="s">
        <v>29</v>
      </c>
      <c r="H38" s="27" t="n">
        <v>1</v>
      </c>
      <c r="I38" s="28" t="n">
        <f aca="false">F38*H38</f>
        <v>1.07580696202532</v>
      </c>
      <c r="J38" s="29" t="n">
        <f aca="false">C38*(I38/H38)</f>
        <v>6.7991</v>
      </c>
    </row>
    <row r="39" customFormat="false" ht="15" hidden="false" customHeight="false" outlineLevel="0" collapsed="false">
      <c r="A39" s="2"/>
      <c r="B39" s="22" t="s">
        <v>94</v>
      </c>
      <c r="C39" s="23" t="n">
        <v>8.63</v>
      </c>
      <c r="D39" s="23" t="n">
        <v>195.39</v>
      </c>
      <c r="E39" s="24" t="n">
        <f aca="false">C39*1000000/(660*D39)</f>
        <v>66.9213244063544</v>
      </c>
      <c r="F39" s="25" t="n">
        <f aca="false">C$14/(E39/C$12)</f>
        <v>0.87167033603708</v>
      </c>
      <c r="G39" s="26" t="s">
        <v>29</v>
      </c>
      <c r="H39" s="27" t="n">
        <v>2</v>
      </c>
      <c r="I39" s="28" t="n">
        <f aca="false">F39*H39</f>
        <v>1.74334067207416</v>
      </c>
      <c r="J39" s="29" t="n">
        <f aca="false">C39*(I39/H39)</f>
        <v>7.522515</v>
      </c>
      <c r="K39" s="54" t="s">
        <v>95</v>
      </c>
      <c r="L39" s="0" t="n">
        <v>1.5</v>
      </c>
      <c r="M39" s="0" t="n">
        <v>1.5</v>
      </c>
    </row>
    <row r="40" s="35" customFormat="true" ht="15" hidden="false" customHeight="false" outlineLevel="0" collapsed="false">
      <c r="A40" s="31"/>
      <c r="B40" s="32" t="s">
        <v>96</v>
      </c>
      <c r="C40" s="33" t="n">
        <v>9.24</v>
      </c>
      <c r="D40" s="33" t="n">
        <v>195.51</v>
      </c>
      <c r="E40" s="24" t="n">
        <f aca="false">C40*1000000/(660*D40)</f>
        <v>71.6075904045829</v>
      </c>
      <c r="F40" s="25" t="n">
        <f aca="false">C$14/(E40/C$12)</f>
        <v>0.814625</v>
      </c>
      <c r="G40" s="26" t="s">
        <v>29</v>
      </c>
      <c r="H40" s="27" t="n">
        <v>2</v>
      </c>
      <c r="I40" s="28" t="n">
        <f aca="false">F40*H40</f>
        <v>1.62925</v>
      </c>
      <c r="J40" s="34" t="n">
        <f aca="false">C40*(I40/H40)</f>
        <v>7.527135</v>
      </c>
      <c r="K40" s="55" t="s">
        <v>97</v>
      </c>
      <c r="L40" s="35" t="n">
        <v>1.5</v>
      </c>
      <c r="M40" s="35" t="n">
        <v>1.5</v>
      </c>
    </row>
    <row r="41" customFormat="false" ht="15" hidden="false" customHeight="false" outlineLevel="0" collapsed="false">
      <c r="A41" s="2"/>
      <c r="B41" s="22" t="s">
        <v>98</v>
      </c>
      <c r="C41" s="23" t="n">
        <v>9.11</v>
      </c>
      <c r="D41" s="23" t="n">
        <v>190.24</v>
      </c>
      <c r="E41" s="24" t="n">
        <f aca="false">C41*1000000/(660*D41)</f>
        <v>72.5558783801004</v>
      </c>
      <c r="F41" s="25" t="n">
        <f aca="false">C$14/(E41/C$12)</f>
        <v>0.803978046103183</v>
      </c>
      <c r="G41" s="26" t="s">
        <v>29</v>
      </c>
      <c r="H41" s="27" t="n">
        <v>2</v>
      </c>
      <c r="I41" s="28" t="n">
        <f aca="false">F41*H41</f>
        <v>1.60795609220637</v>
      </c>
      <c r="J41" s="29" t="n">
        <f aca="false">C41*(I41/H41)</f>
        <v>7.32424</v>
      </c>
      <c r="K41" s="54" t="s">
        <v>99</v>
      </c>
      <c r="L41" s="0" t="n">
        <v>1.5</v>
      </c>
      <c r="M41" s="0" t="n">
        <v>1.5</v>
      </c>
    </row>
    <row r="42" customFormat="false" ht="15" hidden="false" customHeight="false" outlineLevel="0" collapsed="false">
      <c r="A42" s="2"/>
      <c r="B42" s="22" t="s">
        <v>100</v>
      </c>
      <c r="C42" s="23" t="n">
        <v>4.64</v>
      </c>
      <c r="D42" s="23" t="n">
        <v>202.02</v>
      </c>
      <c r="E42" s="24" t="n">
        <f aca="false">C42*1000000/(660*D42)</f>
        <v>34.8000348000348</v>
      </c>
      <c r="F42" s="25" t="n">
        <f aca="false">C$14/(E42/C$12)</f>
        <v>1.67624353448276</v>
      </c>
      <c r="G42" s="26" t="s">
        <v>29</v>
      </c>
      <c r="H42" s="27" t="n">
        <v>1</v>
      </c>
      <c r="I42" s="28" t="n">
        <f aca="false">F42*H42</f>
        <v>1.67624353448276</v>
      </c>
      <c r="J42" s="29" t="n">
        <f aca="false">C42*(I42/H42)</f>
        <v>7.77777</v>
      </c>
    </row>
    <row r="43" customFormat="false" ht="15" hidden="false" customHeight="false" outlineLevel="0" collapsed="false">
      <c r="A43" s="2"/>
      <c r="B43" s="22" t="s">
        <v>101</v>
      </c>
      <c r="C43" s="23" t="n">
        <v>3.96</v>
      </c>
      <c r="D43" s="23" t="n">
        <v>198.5</v>
      </c>
      <c r="E43" s="24" t="n">
        <f aca="false">C43*1000000/(660*D43)</f>
        <v>30.2267002518892</v>
      </c>
      <c r="F43" s="25" t="n">
        <f aca="false">C$14/(E43/C$12)</f>
        <v>1.92986111111111</v>
      </c>
      <c r="G43" s="26" t="s">
        <v>29</v>
      </c>
      <c r="H43" s="27" t="n">
        <v>1</v>
      </c>
      <c r="I43" s="28" t="n">
        <f aca="false">F43*H43</f>
        <v>1.92986111111111</v>
      </c>
      <c r="J43" s="29" t="n">
        <f aca="false">C43*(I43/H43)</f>
        <v>7.64225</v>
      </c>
    </row>
    <row r="44" customFormat="false" ht="15" hidden="false" customHeight="false" outlineLevel="0" collapsed="false">
      <c r="A44" s="2"/>
      <c r="B44" s="22" t="s">
        <v>102</v>
      </c>
      <c r="C44" s="23" t="n">
        <v>6.04</v>
      </c>
      <c r="D44" s="23" t="n">
        <v>247.96</v>
      </c>
      <c r="E44" s="24" t="n">
        <f aca="false">C44*1000000/(660*D44)</f>
        <v>36.9072235502305</v>
      </c>
      <c r="F44" s="25" t="n">
        <f aca="false">C$14/(E44/C$12)</f>
        <v>1.58053973509934</v>
      </c>
      <c r="G44" s="26" t="s">
        <v>29</v>
      </c>
      <c r="H44" s="27" t="n">
        <v>1</v>
      </c>
      <c r="I44" s="28" t="n">
        <f aca="false">F44*H44</f>
        <v>1.58053973509934</v>
      </c>
      <c r="J44" s="29" t="n">
        <f aca="false">C44*(I44/H44)</f>
        <v>9.54646</v>
      </c>
    </row>
    <row r="45" customFormat="false" ht="15" hidden="false" customHeight="false" outlineLevel="0" collapsed="false">
      <c r="A45" s="2"/>
      <c r="B45" s="22" t="s">
        <v>103</v>
      </c>
      <c r="C45" s="23" t="n">
        <v>3.12</v>
      </c>
      <c r="D45" s="23" t="n">
        <v>295.83</v>
      </c>
      <c r="E45" s="24" t="n">
        <f aca="false">C45*1000000/(660*D45)</f>
        <v>15.9796934971867</v>
      </c>
      <c r="F45" s="25" t="n">
        <f aca="false">C$14/(E45/C$12)</f>
        <v>3.65046634615385</v>
      </c>
      <c r="G45" s="26" t="s">
        <v>29</v>
      </c>
      <c r="H45" s="27" t="n">
        <v>1</v>
      </c>
      <c r="I45" s="28" t="n">
        <f aca="false">F45*H45</f>
        <v>3.65046634615385</v>
      </c>
      <c r="J45" s="29" t="n">
        <f aca="false">C45*(I45/H45)</f>
        <v>11.389455</v>
      </c>
    </row>
    <row r="46" customFormat="false" ht="15" hidden="false" customHeight="false" outlineLevel="0" collapsed="false">
      <c r="A46" s="2"/>
      <c r="B46" s="22" t="s">
        <v>104</v>
      </c>
      <c r="C46" s="23" t="n">
        <v>2.47</v>
      </c>
      <c r="D46" s="23" t="n">
        <v>207.84</v>
      </c>
      <c r="E46" s="24" t="n">
        <f aca="false">C46*1000000/(660*D46)</f>
        <v>18.0062752233653</v>
      </c>
      <c r="F46" s="25" t="n">
        <f aca="false">C$14/(E46/C$12)</f>
        <v>3.23961133603239</v>
      </c>
      <c r="G46" s="26" t="s">
        <v>29</v>
      </c>
      <c r="H46" s="27" t="n">
        <v>1</v>
      </c>
      <c r="I46" s="28" t="n">
        <f aca="false">F46*H46</f>
        <v>3.23961133603239</v>
      </c>
      <c r="J46" s="29" t="n">
        <f aca="false">C46*(I46/H46)</f>
        <v>8.00184</v>
      </c>
    </row>
    <row r="47" customFormat="false" ht="15" hidden="false" customHeight="false" outlineLevel="0" collapsed="false">
      <c r="A47" s="2"/>
      <c r="B47" s="22" t="s">
        <v>105</v>
      </c>
      <c r="C47" s="23" t="n">
        <v>4.38</v>
      </c>
      <c r="D47" s="23" t="n">
        <v>213.39</v>
      </c>
      <c r="E47" s="24" t="n">
        <f aca="false">C47*1000000/(660*D47)</f>
        <v>31.0996936893183</v>
      </c>
      <c r="F47" s="25" t="n">
        <f aca="false">C$14/(E47/C$12)</f>
        <v>1.87568835616438</v>
      </c>
      <c r="G47" s="26" t="s">
        <v>29</v>
      </c>
      <c r="H47" s="27" t="n">
        <v>1</v>
      </c>
      <c r="I47" s="28" t="n">
        <f aca="false">F47*H47</f>
        <v>1.87568835616438</v>
      </c>
      <c r="J47" s="29" t="n">
        <f aca="false">C47*(I47/H47)</f>
        <v>8.215515</v>
      </c>
    </row>
    <row r="48" s="35" customFormat="true" ht="15" hidden="false" customHeight="false" outlineLevel="0" collapsed="false">
      <c r="A48" s="31"/>
      <c r="B48" s="36" t="s">
        <v>106</v>
      </c>
      <c r="C48" s="36" t="n">
        <v>5.37</v>
      </c>
      <c r="D48" s="36" t="n">
        <v>206.53</v>
      </c>
      <c r="E48" s="24" t="n">
        <f aca="false">C48*1000000/(660*D48)</f>
        <v>39.3955533644683</v>
      </c>
      <c r="F48" s="25" t="n">
        <f aca="false">C$14/(E48/C$12)</f>
        <v>1.48070856610801</v>
      </c>
      <c r="G48" s="26" t="s">
        <v>29</v>
      </c>
      <c r="H48" s="27" t="n">
        <v>1</v>
      </c>
      <c r="I48" s="28" t="n">
        <f aca="false">F48*H48</f>
        <v>1.48070856610801</v>
      </c>
      <c r="J48" s="34" t="n">
        <f aca="false">C48*(I48/H48)</f>
        <v>7.951405</v>
      </c>
    </row>
    <row r="49" customFormat="false" ht="15" hidden="false" customHeight="false" outlineLevel="0" collapsed="false">
      <c r="A49" s="2"/>
      <c r="B49" s="37" t="s">
        <v>107</v>
      </c>
      <c r="C49" s="37" t="n">
        <v>12.5</v>
      </c>
      <c r="D49" s="37" t="n">
        <v>212.04</v>
      </c>
      <c r="E49" s="24" t="n">
        <f aca="false">C49*1000000/(660*D49)</f>
        <v>89.3199110516598</v>
      </c>
      <c r="F49" s="25" t="n">
        <f aca="false">C$14/(E49/C$12)</f>
        <v>0.6530832</v>
      </c>
      <c r="G49" s="26" t="s">
        <v>29</v>
      </c>
      <c r="H49" s="27" t="n">
        <v>2</v>
      </c>
      <c r="I49" s="28" t="n">
        <f aca="false">F49*H49</f>
        <v>1.3061664</v>
      </c>
      <c r="J49" s="29" t="n">
        <f aca="false">C49*(I49/H49)</f>
        <v>8.16354</v>
      </c>
      <c r="K49" s="54" t="s">
        <v>108</v>
      </c>
      <c r="L49" s="0" t="n">
        <v>1.5</v>
      </c>
      <c r="M49" s="0" t="n">
        <v>1.5</v>
      </c>
    </row>
    <row r="50" customFormat="false" ht="15" hidden="false" customHeight="false" outlineLevel="0" collapsed="false">
      <c r="A50" s="2"/>
      <c r="B50" s="37" t="s">
        <v>109</v>
      </c>
      <c r="C50" s="37" t="n">
        <v>7.53</v>
      </c>
      <c r="D50" s="37" t="n">
        <v>197.11</v>
      </c>
      <c r="E50" s="24" t="n">
        <f aca="false">C50*1000000/(660*D50)</f>
        <v>57.8818472380443</v>
      </c>
      <c r="F50" s="25" t="n">
        <f aca="false">C$14/(E50/C$12)</f>
        <v>1.00780013280213</v>
      </c>
      <c r="G50" s="26" t="s">
        <v>29</v>
      </c>
      <c r="H50" s="27" t="n">
        <v>1</v>
      </c>
      <c r="I50" s="28" t="n">
        <f aca="false">F50*H50</f>
        <v>1.00780013280213</v>
      </c>
      <c r="J50" s="29" t="n">
        <f aca="false">C50*(I50/H50)</f>
        <v>7.588735</v>
      </c>
    </row>
    <row r="51" customFormat="false" ht="15" hidden="false" customHeight="false" outlineLevel="0" collapsed="false">
      <c r="A51" s="2"/>
      <c r="B51" s="22" t="s">
        <v>110</v>
      </c>
      <c r="C51" s="23" t="n">
        <v>6.69</v>
      </c>
      <c r="D51" s="23" t="n">
        <v>187.21</v>
      </c>
      <c r="E51" s="24" t="n">
        <f aca="false">C51*1000000/(660*D51)</f>
        <v>54.144349320889</v>
      </c>
      <c r="F51" s="25" t="n">
        <f aca="false">C$14/(E51/C$12)</f>
        <v>1.07736696562033</v>
      </c>
      <c r="G51" s="26" t="s">
        <v>29</v>
      </c>
      <c r="H51" s="27" t="n">
        <v>1</v>
      </c>
      <c r="I51" s="28" t="n">
        <f aca="false">F51*H51</f>
        <v>1.07736696562033</v>
      </c>
      <c r="J51" s="29" t="n">
        <f aca="false">C51*(I51/H51)</f>
        <v>7.207585</v>
      </c>
    </row>
    <row r="52" s="35" customFormat="true" ht="15" hidden="false" customHeight="false" outlineLevel="0" collapsed="false">
      <c r="A52" s="31"/>
      <c r="B52" s="32" t="s">
        <v>111</v>
      </c>
      <c r="C52" s="33" t="n">
        <v>7.51</v>
      </c>
      <c r="D52" s="33" t="n">
        <v>181.25</v>
      </c>
      <c r="E52" s="24" t="n">
        <f aca="false">C52*1000000/(660*D52)</f>
        <v>62.7795193312435</v>
      </c>
      <c r="F52" s="25" t="n">
        <f aca="false">C$14/(E52/C$12)</f>
        <v>0.92917776298269</v>
      </c>
      <c r="G52" s="26" t="s">
        <v>29</v>
      </c>
      <c r="H52" s="27" t="n">
        <v>2</v>
      </c>
      <c r="I52" s="28" t="n">
        <f aca="false">F52*H52</f>
        <v>1.85835552596538</v>
      </c>
      <c r="J52" s="34" t="n">
        <f aca="false">C52*(I52/H52)</f>
        <v>6.978125</v>
      </c>
      <c r="K52" s="55" t="s">
        <v>112</v>
      </c>
      <c r="L52" s="35" t="n">
        <v>1.5</v>
      </c>
      <c r="M52" s="35" t="n">
        <v>1.5</v>
      </c>
    </row>
    <row r="53" customFormat="false" ht="15" hidden="false" customHeight="false" outlineLevel="0" collapsed="false">
      <c r="A53" s="38"/>
      <c r="E53" s="38"/>
      <c r="F53" s="2"/>
      <c r="G53" s="2"/>
      <c r="H53" s="39" t="s">
        <v>65</v>
      </c>
      <c r="I53" s="40" t="n">
        <f aca="false">SUM(I17:I52)</f>
        <v>58.7160421113416</v>
      </c>
      <c r="J53" s="41"/>
    </row>
    <row r="54" customFormat="false" ht="15" hidden="false" customHeight="false" outlineLevel="0" collapsed="false">
      <c r="A54" s="38"/>
      <c r="E54" s="38"/>
      <c r="F54" s="2"/>
      <c r="G54" s="2"/>
      <c r="H54" s="42" t="s">
        <v>66</v>
      </c>
      <c r="I54" s="43" t="n">
        <f aca="false">C14-I53</f>
        <v>11.2839578886584</v>
      </c>
      <c r="J54" s="44" t="s">
        <v>67</v>
      </c>
    </row>
    <row r="55" customFormat="false" ht="15" hidden="false" customHeight="false" outlineLevel="0" collapsed="false">
      <c r="A55" s="38"/>
      <c r="E55" s="38"/>
      <c r="F55" s="2"/>
      <c r="G55" s="2"/>
      <c r="H55" s="45" t="s">
        <v>68</v>
      </c>
      <c r="I55" s="46" t="n">
        <f aca="false">SUM(I53:I54)</f>
        <v>70</v>
      </c>
      <c r="J55" s="47"/>
    </row>
    <row r="56" customFormat="false" ht="15" hidden="false" customHeight="false" outlineLevel="0" collapsed="false">
      <c r="A56" s="3"/>
      <c r="E56" s="2"/>
      <c r="F56" s="2"/>
      <c r="G56" s="2"/>
      <c r="H56" s="2" t="s">
        <v>69</v>
      </c>
      <c r="I56" s="48" t="n">
        <f aca="false">SUM(J17:J52)/I55</f>
        <v>3.950177</v>
      </c>
      <c r="J56" s="2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H1:H1048576">
    <cfRule type="cellIs" priority="2" operator="equal" aboveAverage="0" equalAverage="0" bottom="0" percent="0" rank="0" text="" dxfId="0">
      <formula>2</formula>
    </cfRule>
  </conditionalFormatting>
  <printOptions headings="false" gridLines="false" gridLinesSet="true" horizontalCentered="false" verticalCentered="false"/>
  <pageMargins left="0.7875" right="0.7875" top="1.05416666666667" bottom="1.05416666666667" header="0.7875" footer="0.787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customXml/_rels/item1.xml.rels><?xml version="1.0" encoding="UTF-8" standalone="yes"?>
  <Relationships xmlns="http://schemas.openxmlformats.org/package/2006/relationships">
    <Relationship Id="rId5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https://mynotebook.labarchives.com</BaseUri>
  <eid>NzQzLjZ8MTE2Mzk0Ni81NzIvRW50cnlQYXJ0LzMwNzg0MTg3NzV8MTg4Ny42</eid>
  <version>1</version>
  <updated-at>2025-12-05T20:15:12Z</updated-at>
</LabArchives>
</file>

<file path=customXml/itemProps1.xml><?xml version="1.0" encoding="utf-8"?>
<ds:datastoreItem xmlns:ds="http://schemas.openxmlformats.org/officeDocument/2006/customXml" ds:itemID="{1B1D4F00-7587-4DAE-932C-559600D73E0E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1791</TotalTime>
  <Application>LibreOffice/7.2.1.2$MacOSX_X86_64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2022-10-28T10:29:12Z</dcterms:created>
  <dc:creator>Microsoft Office User</dc:creator>
  <dc:description/>
  <dc:language>en-US</dc:language>
  <cp:lastModifiedBy/>
  <cp:lastPrinted>2025-12-05T13:44:37Z</cp:lastPrinted>
  <dcterms:modified xsi:type="dcterms:W3CDTF">2025-12-05T14:14:47Z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