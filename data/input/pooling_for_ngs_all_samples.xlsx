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yuansmac/Library/CloudStorage/Box-Box/Dmel_multiomics_sharing/Experimental design/protocol/ATAC-seq/formal experiment/pooling_calculation/data/"/>
    </mc:Choice>
  </mc:AlternateContent>
  <xr:revisionPtr revIDLastSave="211" documentId="13_ncr:1_{D33FDF16-CAE7-1444-BEAC-024A068FD803}" xr6:coauthVersionLast="47" xr6:coauthVersionMax="47" xr10:uidLastSave="{01E774D9-5174-4959-A996-2BA79F90304F}"/>
  <bookViews>
    <workbookView xWindow="0" yWindow="0" windowWidth="51200" windowHeight="28800" tabRatio="500" xr2:uid="{00000000-000D-0000-FFFF-FFFF00000000}"/>
  </bookViews>
  <sheets>
    <sheet name="Pool1_rebalance" sheetId="2" r:id="rId1"/>
    <sheet name="Pool1_2" sheetId="1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2" l="1"/>
  <c r="R23" i="2"/>
  <c r="R22" i="2"/>
  <c r="R21" i="2"/>
  <c r="R20" i="2"/>
  <c r="R19" i="2"/>
  <c r="R18" i="2"/>
  <c r="P24" i="2"/>
  <c r="P23" i="2"/>
  <c r="P22" i="2"/>
  <c r="P21" i="2"/>
  <c r="P20" i="2"/>
  <c r="P19" i="2"/>
  <c r="P18" i="2"/>
  <c r="E24" i="2"/>
  <c r="E23" i="2"/>
  <c r="E22" i="2"/>
  <c r="E21" i="2"/>
  <c r="J20" i="2"/>
  <c r="E20" i="2"/>
  <c r="J19" i="2"/>
  <c r="E19" i="2"/>
  <c r="J18" i="2"/>
  <c r="E18" i="2"/>
  <c r="C13" i="2"/>
  <c r="J42" i="1"/>
  <c r="J43" i="1"/>
  <c r="J44" i="1"/>
  <c r="J45" i="1"/>
  <c r="J46" i="1"/>
  <c r="J47" i="1"/>
  <c r="J48" i="1"/>
  <c r="J49" i="1"/>
  <c r="J50" i="1"/>
  <c r="J51" i="1"/>
  <c r="J52" i="1"/>
  <c r="J53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18" i="1"/>
  <c r="E52" i="1"/>
  <c r="E53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9" i="1"/>
  <c r="E28" i="1"/>
  <c r="E27" i="1"/>
  <c r="E26" i="1"/>
  <c r="E25" i="1"/>
  <c r="E24" i="1"/>
  <c r="E23" i="1"/>
  <c r="E22" i="1"/>
  <c r="E21" i="1"/>
  <c r="E20" i="1"/>
  <c r="E19" i="1"/>
  <c r="E18" i="1"/>
  <c r="C13" i="1"/>
  <c r="F29" i="1" s="1"/>
  <c r="K29" i="1" s="1"/>
  <c r="F18" i="2" l="1"/>
  <c r="F19" i="2"/>
  <c r="F20" i="2"/>
  <c r="F21" i="2"/>
  <c r="F22" i="2"/>
  <c r="F23" i="2"/>
  <c r="F24" i="2"/>
  <c r="F53" i="1"/>
  <c r="F52" i="1"/>
  <c r="F50" i="1"/>
  <c r="F49" i="1"/>
  <c r="F24" i="1"/>
  <c r="F48" i="1"/>
  <c r="F25" i="1"/>
  <c r="F38" i="1"/>
  <c r="F37" i="1"/>
  <c r="F36" i="1"/>
  <c r="F35" i="1"/>
  <c r="F47" i="1"/>
  <c r="F46" i="1"/>
  <c r="F34" i="1"/>
  <c r="F21" i="1"/>
  <c r="F33" i="1"/>
  <c r="F27" i="1"/>
  <c r="F22" i="1"/>
  <c r="F51" i="1"/>
  <c r="F30" i="1"/>
  <c r="F45" i="1"/>
  <c r="F28" i="1"/>
  <c r="F42" i="1"/>
  <c r="F41" i="1"/>
  <c r="F19" i="1"/>
  <c r="F40" i="1"/>
  <c r="F39" i="1"/>
  <c r="F44" i="1"/>
  <c r="F32" i="1"/>
  <c r="F18" i="1"/>
  <c r="F43" i="1"/>
  <c r="F31" i="1"/>
  <c r="H29" i="1"/>
  <c r="F20" i="1"/>
  <c r="F23" i="1"/>
  <c r="F26" i="1"/>
  <c r="K24" i="2" l="1"/>
  <c r="H24" i="2"/>
  <c r="Q24" i="2" s="1"/>
  <c r="K23" i="2"/>
  <c r="H23" i="2"/>
  <c r="Q23" i="2" s="1"/>
  <c r="K22" i="2"/>
  <c r="H22" i="2"/>
  <c r="Q22" i="2" s="1"/>
  <c r="K21" i="2"/>
  <c r="H21" i="2"/>
  <c r="Q21" i="2" s="1"/>
  <c r="K20" i="2"/>
  <c r="H20" i="2"/>
  <c r="Q20" i="2" s="1"/>
  <c r="K19" i="2"/>
  <c r="H19" i="2"/>
  <c r="Q19" i="2" s="1"/>
  <c r="K18" i="2"/>
  <c r="H18" i="2"/>
  <c r="Q18" i="2" s="1"/>
  <c r="K25" i="2"/>
  <c r="H25" i="2"/>
  <c r="I25" i="2" s="1"/>
  <c r="H27" i="2" s="1"/>
  <c r="H26" i="1"/>
  <c r="K26" i="1"/>
  <c r="H23" i="1"/>
  <c r="K23" i="1"/>
  <c r="H20" i="1"/>
  <c r="K20" i="1"/>
  <c r="H31" i="1"/>
  <c r="K31" i="1"/>
  <c r="H43" i="1"/>
  <c r="K43" i="1"/>
  <c r="H18" i="1"/>
  <c r="K18" i="1"/>
  <c r="H32" i="1"/>
  <c r="K32" i="1"/>
  <c r="H44" i="1"/>
  <c r="K44" i="1"/>
  <c r="H39" i="1"/>
  <c r="K39" i="1"/>
  <c r="H40" i="1"/>
  <c r="K40" i="1"/>
  <c r="H19" i="1"/>
  <c r="K19" i="1"/>
  <c r="H41" i="1"/>
  <c r="K41" i="1"/>
  <c r="H42" i="1"/>
  <c r="K42" i="1"/>
  <c r="H28" i="1"/>
  <c r="K28" i="1"/>
  <c r="H45" i="1"/>
  <c r="K45" i="1"/>
  <c r="H30" i="1"/>
  <c r="K30" i="1"/>
  <c r="H51" i="1"/>
  <c r="K51" i="1"/>
  <c r="H22" i="1"/>
  <c r="K22" i="1"/>
  <c r="H27" i="1"/>
  <c r="K27" i="1"/>
  <c r="H33" i="1"/>
  <c r="K33" i="1"/>
  <c r="H21" i="1"/>
  <c r="K21" i="1"/>
  <c r="H34" i="1"/>
  <c r="K34" i="1"/>
  <c r="H46" i="1"/>
  <c r="K46" i="1"/>
  <c r="H47" i="1"/>
  <c r="K47" i="1"/>
  <c r="H35" i="1"/>
  <c r="K35" i="1"/>
  <c r="H36" i="1"/>
  <c r="K36" i="1"/>
  <c r="H37" i="1"/>
  <c r="K37" i="1"/>
  <c r="H38" i="1"/>
  <c r="K38" i="1"/>
  <c r="H25" i="1"/>
  <c r="K25" i="1"/>
  <c r="H48" i="1"/>
  <c r="K48" i="1"/>
  <c r="H24" i="1"/>
  <c r="K24" i="1"/>
  <c r="H49" i="1"/>
  <c r="K49" i="1"/>
  <c r="H50" i="1"/>
  <c r="K50" i="1"/>
  <c r="H52" i="1"/>
  <c r="K52" i="1"/>
  <c r="H53" i="1"/>
  <c r="K53" i="1"/>
  <c r="I37" i="1"/>
  <c r="J37" i="1" s="1"/>
  <c r="I41" i="1"/>
  <c r="J41" i="1" s="1"/>
  <c r="I36" i="1"/>
  <c r="J36" i="1" s="1"/>
  <c r="I38" i="1"/>
  <c r="J38" i="1" s="1"/>
  <c r="K54" i="1"/>
  <c r="I39" i="1"/>
  <c r="J39" i="1" s="1"/>
  <c r="I40" i="1"/>
  <c r="J40" i="1" s="1"/>
  <c r="I21" i="2" l="1"/>
  <c r="J21" i="2" s="1"/>
  <c r="I22" i="2"/>
  <c r="J22" i="2" s="1"/>
  <c r="I23" i="2"/>
  <c r="J23" i="2" s="1"/>
  <c r="I24" i="2"/>
  <c r="J24" i="2" s="1"/>
  <c r="L25" i="2"/>
  <c r="H54" i="1"/>
  <c r="I54" i="1" s="1"/>
  <c r="H56" i="1" l="1"/>
  <c r="L54" i="1"/>
</calcChain>
</file>

<file path=xl/sharedStrings.xml><?xml version="1.0" encoding="utf-8"?>
<sst xmlns="http://schemas.openxmlformats.org/spreadsheetml/2006/main" count="129" uniqueCount="73">
  <si>
    <t>Equimolar pooling for Illumina Sequencing</t>
  </si>
  <si>
    <t>Complete the tables below to calculate the pool volumes:</t>
  </si>
  <si>
    <t>Insert extra rows to the table as needed</t>
  </si>
  <si>
    <t>Adjust the sample number to the number of libraries in the pool (yellow table)</t>
  </si>
  <si>
    <t>Adjust the Total Concentration of POOL (nM) and Total Volume of POOL (μl)  (yellow table) dependening on your individual library concentrations so that all volumes (green column) are within range</t>
  </si>
  <si>
    <t xml:space="preserve">Adjust the dilution factor column (red) to enable accurate pipetting (at least 1 μl for green column) </t>
  </si>
  <si>
    <t>If the Sum of the Volume exceeds the total Volume of POOL then concentration with Ampure XP may be required</t>
  </si>
  <si>
    <t>Pool Name</t>
  </si>
  <si>
    <t>pool 1</t>
  </si>
  <si>
    <t>Number of samples</t>
  </si>
  <si>
    <t>Adjust as needed</t>
  </si>
  <si>
    <t>final conc each library in pool</t>
  </si>
  <si>
    <t>auto calculated</t>
  </si>
  <si>
    <t>Total Concentration of POOL (nM)</t>
  </si>
  <si>
    <t>Total concentration of pool is more like 25 nM with ~77 μL volume</t>
  </si>
  <si>
    <t>Total Volume of POOL (μl)</t>
  </si>
  <si>
    <t>sample name</t>
  </si>
  <si>
    <t>Conc undiluted (ng/μl)</t>
  </si>
  <si>
    <t>Size (bp)</t>
  </si>
  <si>
    <t>Molarity (nM)</t>
  </si>
  <si>
    <t xml:space="preserve"> Undiluted volume for pool (μl)</t>
  </si>
  <si>
    <t>Dilution factor</t>
  </si>
  <si>
    <t xml:space="preserve"> Volume for pool (μl)</t>
  </si>
  <si>
    <t>Volume aliquot undiluted (uL)</t>
  </si>
  <si>
    <t>Volume of water added to dilute (uL)</t>
  </si>
  <si>
    <t>Mass of DNA  (ng)</t>
  </si>
  <si>
    <t>Library</t>
  </si>
  <si>
    <t>Dilution 
factor</t>
  </si>
  <si>
    <t>Proportion of 
target balance</t>
  </si>
  <si>
    <t xml:space="preserve">Proportion volume needed/ originally added </t>
  </si>
  <si>
    <t>Volume to 
add of dilution</t>
  </si>
  <si>
    <t>Volume to add 
of original sample</t>
  </si>
  <si>
    <t>Volume to add 
of original library (μL)</t>
  </si>
  <si>
    <t>2025.10.15-ATAC-10</t>
  </si>
  <si>
    <t>2025.10.01-ATAC-13</t>
  </si>
  <si>
    <t>2025.10.01-ATAC-14</t>
  </si>
  <si>
    <t>2025.10.10-ATAC-19</t>
  </si>
  <si>
    <t>2025.10.10-ATAC-20</t>
  </si>
  <si>
    <t>2025.10.10-ATAC-23</t>
  </si>
  <si>
    <t>2025.10.10-ATAC-24</t>
  </si>
  <si>
    <t>sum</t>
  </si>
  <si>
    <t>ng/μl</t>
  </si>
  <si>
    <t>add Tris</t>
  </si>
  <si>
    <t>TOTAL</t>
  </si>
  <si>
    <t>2025.10.15-ATAC-1</t>
  </si>
  <si>
    <t>2025.10.15-ATAC-2</t>
  </si>
  <si>
    <t>2025.10.15-ATAC-3</t>
  </si>
  <si>
    <t>2025.10.15-ATAC-4</t>
  </si>
  <si>
    <t>2025.10.15-ATAC-5</t>
  </si>
  <si>
    <t>2025.10.15-ATAC-6</t>
  </si>
  <si>
    <t>2025.10.15-ATAC-7</t>
  </si>
  <si>
    <t>2025.10.15-ATAC-8</t>
  </si>
  <si>
    <t>2025.10.15-ATAC-9</t>
  </si>
  <si>
    <t>2025.10.15-ATAC-11</t>
  </si>
  <si>
    <t>2025.10.15-ATAC-12</t>
  </si>
  <si>
    <t>2025.10.01-ATAC-15</t>
  </si>
  <si>
    <t>2025.10.01-ATAC-16</t>
  </si>
  <si>
    <t>2025.10.01-ATAC-17</t>
  </si>
  <si>
    <t>2025.10.01-ATAC-18</t>
  </si>
  <si>
    <t>2025.10.10-ATAC-21</t>
  </si>
  <si>
    <t>2025.10.10-ATAC-22</t>
  </si>
  <si>
    <t>2025.10.13-ATAC-25</t>
  </si>
  <si>
    <t>2025.10.13-ATAC-26</t>
  </si>
  <si>
    <t>2025.10.13-ATAC-27</t>
  </si>
  <si>
    <t>2025.10.13-ATAC-28</t>
  </si>
  <si>
    <t>2025.10.13-ATAC-29</t>
  </si>
  <si>
    <t>2025.10.13-ATAC-30</t>
  </si>
  <si>
    <t>2025.10.13-ATAC-31</t>
  </si>
  <si>
    <t>2025.10.20-ATAC-32</t>
  </si>
  <si>
    <t>2025.10.13-ATAC-33</t>
  </si>
  <si>
    <t>2025.10.13-ATAC-34</t>
  </si>
  <si>
    <t>2025.10.20-ATAC-35</t>
  </si>
  <si>
    <t>2025.10.13-ATAC-36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</si>
</sst>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color rgb="FF9C57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6100"/>
      <name val="Calibri"/>
      <family val="2"/>
      <charset val="1"/>
    </font>
    <font>
      <b/>
      <sz val="12"/>
      <color rgb="FF006100"/>
      <name val="Calibri"/>
      <family val="2"/>
      <charset val="1"/>
    </font>
    <font>
      <sz val="12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E699"/>
      </patternFill>
    </fill>
    <fill>
      <patternFill patternType="solid">
        <fgColor rgb="FFC6EFCE"/>
        <bgColor rgb="FFC5E0B4"/>
      </patternFill>
    </fill>
    <fill>
      <patternFill patternType="solid">
        <fgColor rgb="FFD9D9D9"/>
        <bgColor rgb="FFC5E0B4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C6EFCE"/>
      </patternFill>
    </fill>
    <fill>
      <patternFill patternType="solid">
        <fgColor rgb="FFFFFF00"/>
        <bgColor rgb="FFC6EFCE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4" fillId="2" borderId="0"/>
    <xf numFmtId="0" fontId="6" fillId="3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4" borderId="1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2" fillId="5" borderId="3" xfId="2" applyFont="1" applyFill="1" applyBorder="1" applyAlignment="1">
      <alignment horizontal="center" vertical="center" wrapText="1"/>
    </xf>
    <xf numFmtId="0" fontId="2" fillId="5" borderId="4" xfId="2" applyFont="1" applyFill="1" applyBorder="1" applyAlignment="1">
      <alignment horizontal="center" vertical="center" wrapText="1"/>
    </xf>
    <xf numFmtId="0" fontId="8" fillId="0" borderId="3" xfId="1" applyBorder="1" applyAlignment="1">
      <alignment horizontal="center"/>
    </xf>
    <xf numFmtId="0" fontId="8" fillId="0" borderId="4" xfId="1" applyBorder="1" applyAlignment="1">
      <alignment horizontal="center"/>
    </xf>
    <xf numFmtId="0" fontId="2" fillId="5" borderId="3" xfId="2" applyFont="1" applyFill="1" applyBorder="1" applyAlignment="1">
      <alignment horizontal="center" vertical="center"/>
    </xf>
    <xf numFmtId="0" fontId="2" fillId="5" borderId="4" xfId="2" applyFont="1" applyFill="1" applyBorder="1" applyAlignment="1">
      <alignment horizontal="center" vertical="center"/>
    </xf>
    <xf numFmtId="0" fontId="2" fillId="5" borderId="5" xfId="2" applyFont="1" applyFill="1" applyBorder="1" applyAlignment="1">
      <alignment horizontal="center" vertical="center"/>
    </xf>
    <xf numFmtId="0" fontId="2" fillId="5" borderId="6" xfId="2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7" xfId="3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7" borderId="2" xfId="3" applyFont="1" applyFill="1" applyBorder="1" applyAlignment="1">
      <alignment horizontal="center" vertical="center" wrapText="1"/>
    </xf>
    <xf numFmtId="0" fontId="7" fillId="0" borderId="0" xfId="3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8" fillId="0" borderId="8" xfId="1" applyNumberFormat="1" applyBorder="1" applyAlignment="1">
      <alignment horizontal="center" vertical="center"/>
    </xf>
    <xf numFmtId="2" fontId="0" fillId="0" borderId="8" xfId="3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2" fontId="3" fillId="7" borderId="4" xfId="3" applyNumberFormat="1" applyFont="1" applyFill="1" applyBorder="1" applyAlignment="1">
      <alignment horizontal="center" vertical="center"/>
    </xf>
    <xf numFmtId="2" fontId="7" fillId="0" borderId="0" xfId="3" applyNumberFormat="1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3" applyNumberFormat="1" applyFont="1" applyFill="1" applyBorder="1" applyAlignment="1">
      <alignment horizontal="center" vertical="center"/>
    </xf>
    <xf numFmtId="0" fontId="8" fillId="0" borderId="0" xfId="1" applyAlignment="1">
      <alignment horizontal="center" vertical="center"/>
    </xf>
    <xf numFmtId="2" fontId="8" fillId="0" borderId="0" xfId="1" applyNumberFormat="1" applyAlignment="1">
      <alignment horizontal="center" vertical="center"/>
    </xf>
    <xf numFmtId="0" fontId="8" fillId="0" borderId="0" xfId="1"/>
    <xf numFmtId="0" fontId="8" fillId="0" borderId="10" xfId="1" applyBorder="1" applyAlignment="1">
      <alignment horizontal="center" vertical="center"/>
    </xf>
    <xf numFmtId="2" fontId="8" fillId="0" borderId="11" xfId="1" applyNumberFormat="1" applyBorder="1" applyAlignment="1">
      <alignment horizontal="center" vertical="center"/>
    </xf>
    <xf numFmtId="0" fontId="8" fillId="0" borderId="3" xfId="1" applyBorder="1" applyAlignment="1">
      <alignment horizontal="center" vertical="center"/>
    </xf>
    <xf numFmtId="2" fontId="8" fillId="0" borderId="4" xfId="1" applyNumberForma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2" fontId="5" fillId="0" borderId="6" xfId="1" applyNumberFormat="1" applyFon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0" fontId="3" fillId="7" borderId="0" xfId="3" applyFont="1" applyFill="1" applyBorder="1" applyAlignment="1">
      <alignment horizontal="center" vertical="center" wrapText="1"/>
    </xf>
    <xf numFmtId="2" fontId="3" fillId="7" borderId="0" xfId="3" applyNumberFormat="1" applyFont="1" applyFill="1" applyBorder="1" applyAlignment="1">
      <alignment horizontal="center" vertical="center"/>
    </xf>
    <xf numFmtId="2" fontId="8" fillId="0" borderId="0" xfId="1" applyNumberFormat="1" applyBorder="1" applyAlignment="1">
      <alignment horizontal="center" vertical="center"/>
    </xf>
    <xf numFmtId="2" fontId="5" fillId="0" borderId="0" xfId="1" applyNumberFormat="1" applyFont="1" applyBorder="1" applyAlignment="1">
      <alignment horizontal="center" vertical="center"/>
    </xf>
    <xf numFmtId="2" fontId="3" fillId="8" borderId="4" xfId="3" applyNumberFormat="1" applyFont="1" applyFill="1" applyBorder="1" applyAlignment="1">
      <alignment horizontal="center" vertical="center"/>
    </xf>
    <xf numFmtId="2" fontId="3" fillId="8" borderId="0" xfId="3" applyNumberFormat="1" applyFont="1" applyFill="1" applyBorder="1" applyAlignment="1">
      <alignment horizontal="center" vertical="center"/>
    </xf>
    <xf numFmtId="2" fontId="0" fillId="0" borderId="0" xfId="0" applyNumberFormat="1"/>
    <xf numFmtId="15" fontId="0" fillId="0" borderId="3" xfId="0" applyNumberFormat="1" applyBorder="1" applyAlignment="1">
      <alignment horizontal="left" vertical="center"/>
    </xf>
    <xf numFmtId="0" fontId="8" fillId="0" borderId="0" xfId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</cellXfs>
  <cellStyles count="4">
    <cellStyle name="Excel Built-in Good" xfId="3" xr:uid="{00000000-0005-0000-0000-000003000000}"/>
    <cellStyle name="Excel Built-in Neutral" xfId="2" xr:uid="{00000000-0005-0000-0000-000002000000}"/>
    <cellStyle name="Normal" xfId="0" builtinId="0"/>
    <cellStyle name="Normal 4 3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E699"/>
      <rgbColor rgb="FFC5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5137-2557-41F0-9081-DB7DFA4748EA}">
  <sheetPr>
    <pageSetUpPr fitToPage="1"/>
  </sheetPr>
  <dimension ref="A1:AB27"/>
  <sheetViews>
    <sheetView showGridLines="0" tabSelected="1" topLeftCell="A15" zoomScale="144" zoomScaleNormal="100" workbookViewId="0">
      <pane xSplit="2" ySplit="3" topLeftCell="R18" activePane="bottomRight" state="frozen"/>
      <selection pane="bottomRight" activeCell="S16" sqref="S16"/>
      <selection pane="bottomLeft"/>
      <selection pane="topRight"/>
    </sheetView>
  </sheetViews>
  <sheetFormatPr defaultColWidth="10.625" defaultRowHeight="15.75"/>
  <cols>
    <col min="1" max="1" width="10.875" customWidth="1"/>
    <col min="2" max="2" width="33.625" customWidth="1"/>
    <col min="3" max="8" width="10.875" customWidth="1"/>
    <col min="9" max="9" width="12.375" customWidth="1"/>
    <col min="10" max="10" width="20.5" customWidth="1"/>
    <col min="11" max="12" width="10.875" customWidth="1"/>
    <col min="13" max="13" width="21.125" customWidth="1"/>
    <col min="14" max="14" width="10.875" customWidth="1"/>
    <col min="20" max="20" width="21.5" customWidth="1"/>
  </cols>
  <sheetData>
    <row r="1" spans="1:11" ht="50.1" customHeight="1"/>
    <row r="2" spans="1:11" ht="21" customHeight="1">
      <c r="A2" s="1" t="s">
        <v>0</v>
      </c>
    </row>
    <row r="4" spans="1:11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2"/>
      <c r="B5" s="3" t="s">
        <v>2</v>
      </c>
      <c r="C5" s="3"/>
      <c r="D5" s="3"/>
      <c r="E5" s="3"/>
      <c r="F5" s="3"/>
      <c r="G5" s="3"/>
      <c r="H5" s="3"/>
      <c r="I5" s="3"/>
      <c r="J5" s="3"/>
      <c r="K5" s="3"/>
    </row>
    <row r="6" spans="1:11">
      <c r="A6" s="2"/>
      <c r="B6" s="3" t="s">
        <v>3</v>
      </c>
      <c r="C6" s="3"/>
      <c r="D6" s="3"/>
      <c r="E6" s="3"/>
      <c r="F6" s="3"/>
      <c r="G6" s="3"/>
      <c r="H6" s="3"/>
      <c r="I6" s="3"/>
      <c r="J6" s="3"/>
      <c r="K6" s="3"/>
    </row>
    <row r="7" spans="1:11">
      <c r="A7" s="2"/>
      <c r="B7" s="3" t="s">
        <v>4</v>
      </c>
      <c r="C7" s="3"/>
      <c r="D7" s="3"/>
      <c r="E7" s="3"/>
      <c r="F7" s="3"/>
      <c r="G7" s="3"/>
      <c r="H7" s="3"/>
      <c r="I7" s="3"/>
      <c r="J7" s="3"/>
      <c r="K7" s="3"/>
    </row>
    <row r="8" spans="1:11">
      <c r="A8" s="2"/>
      <c r="B8" s="3" t="s">
        <v>5</v>
      </c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3" t="s">
        <v>6</v>
      </c>
      <c r="C9" s="3"/>
      <c r="D9" s="3"/>
      <c r="E9" s="3"/>
      <c r="F9" s="3"/>
      <c r="G9" s="3"/>
      <c r="H9" s="3"/>
      <c r="I9" s="3"/>
      <c r="J9" s="3"/>
      <c r="K9" s="3"/>
    </row>
    <row r="10" spans="1:11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</row>
    <row r="11" spans="1:11" ht="17.100000000000001" customHeight="1">
      <c r="A11" s="2"/>
      <c r="B11" s="4" t="s">
        <v>7</v>
      </c>
      <c r="C11" s="5" t="s">
        <v>8</v>
      </c>
      <c r="D11" s="3"/>
      <c r="E11" s="3"/>
      <c r="F11" s="3"/>
      <c r="G11" s="3"/>
      <c r="H11" s="3"/>
      <c r="I11" s="3"/>
      <c r="J11" s="3"/>
      <c r="K11" s="3"/>
    </row>
    <row r="12" spans="1:11" ht="17.100000000000001" customHeight="1">
      <c r="A12" s="2"/>
      <c r="B12" s="6" t="s">
        <v>9</v>
      </c>
      <c r="C12" s="7">
        <v>36</v>
      </c>
      <c r="D12" s="3" t="s">
        <v>10</v>
      </c>
      <c r="E12" s="3"/>
      <c r="F12" s="3"/>
      <c r="G12" s="3"/>
      <c r="H12" s="3"/>
      <c r="I12" s="3"/>
      <c r="J12" s="3"/>
      <c r="K12" s="3"/>
    </row>
    <row r="13" spans="1:11">
      <c r="A13" s="2"/>
      <c r="B13" s="8" t="s">
        <v>11</v>
      </c>
      <c r="C13" s="9">
        <f>C14/C12</f>
        <v>1.6666666666666667</v>
      </c>
      <c r="D13" s="3" t="s">
        <v>12</v>
      </c>
      <c r="E13" s="3"/>
      <c r="F13" s="3"/>
      <c r="G13" s="3"/>
      <c r="H13" s="3"/>
      <c r="I13" s="3"/>
      <c r="J13" s="3"/>
      <c r="K13" s="3"/>
    </row>
    <row r="14" spans="1:11">
      <c r="A14" s="2"/>
      <c r="B14" s="10" t="s">
        <v>13</v>
      </c>
      <c r="C14" s="11">
        <v>60</v>
      </c>
      <c r="D14" s="3" t="s">
        <v>10</v>
      </c>
      <c r="E14" s="3"/>
      <c r="F14" s="3" t="s">
        <v>14</v>
      </c>
      <c r="G14" s="3"/>
      <c r="H14" s="3"/>
      <c r="I14" s="3"/>
      <c r="J14" s="3"/>
      <c r="K14" s="3"/>
    </row>
    <row r="15" spans="1:11">
      <c r="A15" s="2"/>
      <c r="B15" s="12" t="s">
        <v>15</v>
      </c>
      <c r="C15" s="13">
        <v>30</v>
      </c>
      <c r="D15" s="3" t="s">
        <v>10</v>
      </c>
      <c r="E15" s="3"/>
      <c r="F15" s="3"/>
      <c r="G15" s="3"/>
      <c r="H15" s="3"/>
      <c r="I15" s="3"/>
      <c r="J15" s="3"/>
      <c r="K15" s="3"/>
    </row>
    <row r="16" spans="1:11" ht="6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28" ht="84" customHeight="1">
      <c r="A17" s="2"/>
      <c r="B17" s="14" t="s">
        <v>16</v>
      </c>
      <c r="C17" s="15" t="s">
        <v>17</v>
      </c>
      <c r="D17" s="15" t="s">
        <v>18</v>
      </c>
      <c r="E17" s="15" t="s">
        <v>19</v>
      </c>
      <c r="F17" s="16" t="s">
        <v>20</v>
      </c>
      <c r="G17" s="17" t="s">
        <v>21</v>
      </c>
      <c r="H17" s="18" t="s">
        <v>22</v>
      </c>
      <c r="I17" s="40" t="s">
        <v>23</v>
      </c>
      <c r="J17" s="40" t="s">
        <v>24</v>
      </c>
      <c r="K17" s="19" t="s">
        <v>25</v>
      </c>
      <c r="M17" t="s">
        <v>26</v>
      </c>
      <c r="N17" s="51" t="s">
        <v>27</v>
      </c>
      <c r="O17" s="51" t="s">
        <v>28</v>
      </c>
      <c r="P17" s="51" t="s">
        <v>29</v>
      </c>
      <c r="Q17" s="51" t="s">
        <v>30</v>
      </c>
      <c r="R17" s="51" t="s">
        <v>31</v>
      </c>
      <c r="T17" t="s">
        <v>26</v>
      </c>
      <c r="U17" s="51" t="s">
        <v>32</v>
      </c>
    </row>
    <row r="18" spans="1:28">
      <c r="A18" s="2"/>
      <c r="B18" s="47" t="s">
        <v>33</v>
      </c>
      <c r="C18">
        <v>11.6</v>
      </c>
      <c r="D18" s="27">
        <v>371.09</v>
      </c>
      <c r="E18" s="22">
        <f t="shared" ref="E18:E24" si="0">C18*1000000/(660*D18)</f>
        <v>47.362520078033839</v>
      </c>
      <c r="F18" s="23">
        <f t="shared" ref="F18:F24" si="1">C$15/(E18/C$13)</f>
        <v>1.0556870689655171</v>
      </c>
      <c r="G18" s="24">
        <v>2</v>
      </c>
      <c r="H18" s="25">
        <f>F18*G18</f>
        <v>2.1113741379310342</v>
      </c>
      <c r="I18" s="41">
        <v>1.5</v>
      </c>
      <c r="J18" s="41">
        <f t="shared" ref="J18:J24" si="2">I18*(G18 - 1)</f>
        <v>1.5</v>
      </c>
      <c r="K18" s="26">
        <f>C18*F18</f>
        <v>12.245969999999998</v>
      </c>
      <c r="M18" s="47" t="s">
        <v>33</v>
      </c>
      <c r="N18" s="24">
        <v>2</v>
      </c>
      <c r="O18">
        <v>0.64800000000000002</v>
      </c>
      <c r="P18" s="46">
        <f>1/O18</f>
        <v>1.5432098765432098</v>
      </c>
      <c r="Q18" s="50">
        <f>(P18*H18)-H18</f>
        <v>1.1469192848020433</v>
      </c>
      <c r="R18" s="50">
        <f>Q18/N18</f>
        <v>0.57345964240102165</v>
      </c>
      <c r="T18" s="47" t="s">
        <v>33</v>
      </c>
      <c r="U18" s="50">
        <v>0.57345964240102165</v>
      </c>
      <c r="W18" s="46"/>
      <c r="X18" s="46"/>
      <c r="Y18" s="46"/>
      <c r="Z18" s="46"/>
      <c r="AB18">
        <v>1.5</v>
      </c>
    </row>
    <row r="19" spans="1:28">
      <c r="A19" s="2"/>
      <c r="B19" s="48" t="s">
        <v>34</v>
      </c>
      <c r="C19" s="30">
        <v>9.3800000000000008</v>
      </c>
      <c r="D19" s="31">
        <v>300.70999999999998</v>
      </c>
      <c r="E19" s="22">
        <f t="shared" si="0"/>
        <v>47.261884247684527</v>
      </c>
      <c r="F19" s="23">
        <f t="shared" si="1"/>
        <v>1.0579349680170573</v>
      </c>
      <c r="G19" s="24">
        <v>2</v>
      </c>
      <c r="H19" s="25">
        <f>F19*G19</f>
        <v>2.1158699360341147</v>
      </c>
      <c r="I19" s="41">
        <v>1.5</v>
      </c>
      <c r="J19" s="41">
        <f t="shared" si="2"/>
        <v>1.5</v>
      </c>
      <c r="K19" s="26">
        <f>C19*F19</f>
        <v>9.923429999999998</v>
      </c>
      <c r="M19" s="48" t="s">
        <v>34</v>
      </c>
      <c r="N19" s="24">
        <v>2</v>
      </c>
      <c r="O19">
        <v>0.252</v>
      </c>
      <c r="P19" s="46">
        <f>1/O19</f>
        <v>3.9682539682539684</v>
      </c>
      <c r="Q19" s="50">
        <f>(P19*H19)-H19</f>
        <v>6.2804393339425317</v>
      </c>
      <c r="R19" s="50">
        <f>Q19/N19</f>
        <v>3.1402196669712659</v>
      </c>
      <c r="T19" s="48" t="s">
        <v>34</v>
      </c>
      <c r="U19" s="50">
        <v>3.1402196669712659</v>
      </c>
      <c r="W19" s="46"/>
      <c r="X19" s="46"/>
      <c r="Y19" s="46"/>
      <c r="Z19" s="46"/>
    </row>
    <row r="20" spans="1:28">
      <c r="A20" s="2"/>
      <c r="B20" s="48" t="s">
        <v>35</v>
      </c>
      <c r="C20" s="30">
        <v>4.1900000000000004</v>
      </c>
      <c r="D20" s="31">
        <v>290.37</v>
      </c>
      <c r="E20" s="22">
        <f t="shared" si="0"/>
        <v>21.863432339721214</v>
      </c>
      <c r="F20" s="23">
        <f t="shared" si="1"/>
        <v>2.2869236276849643</v>
      </c>
      <c r="G20" s="24">
        <v>2</v>
      </c>
      <c r="H20" s="44">
        <f>F20*G20</f>
        <v>4.5738472553699285</v>
      </c>
      <c r="I20" s="45">
        <v>2.5</v>
      </c>
      <c r="J20" s="45">
        <f t="shared" si="2"/>
        <v>2.5</v>
      </c>
      <c r="K20" s="26">
        <f>C20*F20</f>
        <v>9.5822100000000017</v>
      </c>
      <c r="M20" s="48" t="s">
        <v>35</v>
      </c>
      <c r="N20" s="24">
        <v>2</v>
      </c>
      <c r="O20">
        <v>0.68400000000000005</v>
      </c>
      <c r="P20" s="46">
        <f>1/O20</f>
        <v>1.4619883040935671</v>
      </c>
      <c r="Q20" s="50">
        <f>(P20*H20)-H20</f>
        <v>2.1130639366913693</v>
      </c>
      <c r="R20" s="50">
        <f>Q20/N20</f>
        <v>1.0565319683456846</v>
      </c>
      <c r="T20" s="48" t="s">
        <v>35</v>
      </c>
      <c r="U20" s="50">
        <v>1.0565319683456846</v>
      </c>
      <c r="W20" s="46"/>
      <c r="X20" s="46"/>
      <c r="Y20" s="46"/>
      <c r="Z20" s="46"/>
    </row>
    <row r="21" spans="1:28">
      <c r="A21" s="29"/>
      <c r="B21" s="49" t="s">
        <v>36</v>
      </c>
      <c r="C21">
        <v>5.68</v>
      </c>
      <c r="D21">
        <v>328.61</v>
      </c>
      <c r="E21" s="22">
        <f t="shared" si="0"/>
        <v>26.189283972065994</v>
      </c>
      <c r="F21" s="23">
        <f t="shared" si="1"/>
        <v>1.9091778169014084</v>
      </c>
      <c r="G21" s="24">
        <v>1</v>
      </c>
      <c r="H21" s="25">
        <f>F21*G21</f>
        <v>1.9091778169014084</v>
      </c>
      <c r="I21" s="25">
        <f>H21</f>
        <v>1.9091778169014084</v>
      </c>
      <c r="J21" s="41">
        <f>I21*(G21 - 1)</f>
        <v>0</v>
      </c>
      <c r="K21" s="26">
        <f>C21*F21</f>
        <v>10.84413</v>
      </c>
      <c r="M21" s="49" t="s">
        <v>36</v>
      </c>
      <c r="N21" s="24">
        <v>1</v>
      </c>
      <c r="O21">
        <v>0.504</v>
      </c>
      <c r="P21" s="46">
        <f>1/O21</f>
        <v>1.9841269841269842</v>
      </c>
      <c r="Q21" s="50">
        <f>(P21*H21)-H21</f>
        <v>1.8788734071093227</v>
      </c>
      <c r="R21" s="50">
        <f>Q21/N21</f>
        <v>1.8788734071093227</v>
      </c>
      <c r="T21" s="49" t="s">
        <v>36</v>
      </c>
      <c r="U21" s="50">
        <v>1.8788734071093227</v>
      </c>
      <c r="W21" s="46"/>
      <c r="X21" s="46"/>
      <c r="Y21" s="46"/>
      <c r="Z21" s="46"/>
    </row>
    <row r="22" spans="1:28">
      <c r="A22" s="3"/>
      <c r="B22" s="49" t="s">
        <v>37</v>
      </c>
      <c r="C22">
        <v>6.07</v>
      </c>
      <c r="D22">
        <v>326.83999999999997</v>
      </c>
      <c r="E22" s="22">
        <f t="shared" si="0"/>
        <v>28.139057939571952</v>
      </c>
      <c r="F22" s="23">
        <f t="shared" si="1"/>
        <v>1.7768896210873146</v>
      </c>
      <c r="G22" s="24">
        <v>1</v>
      </c>
      <c r="H22" s="25">
        <f>F22*G22</f>
        <v>1.7768896210873146</v>
      </c>
      <c r="I22" s="25">
        <f t="shared" ref="I22:I24" si="3">H22</f>
        <v>1.7768896210873146</v>
      </c>
      <c r="J22" s="41">
        <f t="shared" si="2"/>
        <v>0</v>
      </c>
      <c r="K22" s="26">
        <f>C22*F22</f>
        <v>10.78572</v>
      </c>
      <c r="M22" s="49" t="s">
        <v>37</v>
      </c>
      <c r="N22" s="24">
        <v>1</v>
      </c>
      <c r="O22">
        <v>0.46800000000000003</v>
      </c>
      <c r="P22" s="46">
        <f>1/O22</f>
        <v>2.1367521367521367</v>
      </c>
      <c r="Q22" s="50">
        <f>(P22*H22)-H22</f>
        <v>2.0198830735436997</v>
      </c>
      <c r="R22" s="50">
        <f>Q22/N22</f>
        <v>2.0198830735436997</v>
      </c>
      <c r="T22" s="49" t="s">
        <v>37</v>
      </c>
      <c r="U22" s="50">
        <v>2.0198830735436997</v>
      </c>
      <c r="W22" s="46"/>
      <c r="X22" s="46"/>
      <c r="Y22" s="46"/>
      <c r="Z22" s="46"/>
    </row>
    <row r="23" spans="1:28">
      <c r="B23" s="49" t="s">
        <v>38</v>
      </c>
      <c r="C23">
        <v>8.6</v>
      </c>
      <c r="D23">
        <v>336.04</v>
      </c>
      <c r="E23" s="22">
        <f t="shared" si="0"/>
        <v>38.776047584522765</v>
      </c>
      <c r="F23" s="23">
        <f t="shared" si="1"/>
        <v>1.2894558139534884</v>
      </c>
      <c r="G23" s="24">
        <v>1</v>
      </c>
      <c r="H23" s="25">
        <f>F23*G23</f>
        <v>1.2894558139534884</v>
      </c>
      <c r="I23" s="25">
        <f t="shared" si="3"/>
        <v>1.2894558139534884</v>
      </c>
      <c r="J23" s="41">
        <f t="shared" si="2"/>
        <v>0</v>
      </c>
      <c r="K23" s="26">
        <f>C23*F23</f>
        <v>11.089319999999999</v>
      </c>
      <c r="M23" s="49" t="s">
        <v>38</v>
      </c>
      <c r="N23" s="24">
        <v>1</v>
      </c>
      <c r="O23">
        <v>0.68400000000000005</v>
      </c>
      <c r="P23" s="46">
        <f>1/O23</f>
        <v>1.4619883040935671</v>
      </c>
      <c r="Q23" s="50">
        <f>(P23*H23)-H23</f>
        <v>0.59571350469196216</v>
      </c>
      <c r="R23" s="50">
        <f>Q23/N23</f>
        <v>0.59571350469196216</v>
      </c>
      <c r="T23" s="49" t="s">
        <v>38</v>
      </c>
      <c r="U23" s="50">
        <v>0.59571350469196216</v>
      </c>
      <c r="W23" s="46"/>
      <c r="X23" s="46"/>
      <c r="Y23" s="46"/>
    </row>
    <row r="24" spans="1:28">
      <c r="B24" s="49" t="s">
        <v>39</v>
      </c>
      <c r="C24">
        <v>4.87</v>
      </c>
      <c r="D24">
        <v>323.45999999999998</v>
      </c>
      <c r="E24" s="22">
        <f t="shared" si="0"/>
        <v>22.812056757521422</v>
      </c>
      <c r="F24" s="28">
        <f t="shared" si="1"/>
        <v>2.1918234086242299</v>
      </c>
      <c r="G24" s="24">
        <v>1</v>
      </c>
      <c r="H24" s="25">
        <f>F24*G24</f>
        <v>2.1918234086242299</v>
      </c>
      <c r="I24" s="25">
        <f t="shared" si="3"/>
        <v>2.1918234086242299</v>
      </c>
      <c r="J24" s="41">
        <f t="shared" si="2"/>
        <v>0</v>
      </c>
      <c r="K24" s="26">
        <f>C24*F24</f>
        <v>10.67418</v>
      </c>
      <c r="M24" s="49" t="s">
        <v>39</v>
      </c>
      <c r="N24" s="24">
        <v>1</v>
      </c>
      <c r="O24">
        <v>0.57599999999999996</v>
      </c>
      <c r="P24" s="46">
        <f>1/O24</f>
        <v>1.7361111111111112</v>
      </c>
      <c r="Q24" s="50">
        <f>(P24*H24)-H24</f>
        <v>1.6134255646817248</v>
      </c>
      <c r="R24" s="50">
        <f>Q24/N24</f>
        <v>1.6134255646817248</v>
      </c>
      <c r="T24" s="49" t="s">
        <v>39</v>
      </c>
      <c r="U24" s="50">
        <v>1.6134255646817248</v>
      </c>
      <c r="W24" s="46"/>
      <c r="X24" s="46"/>
      <c r="Y24" s="46"/>
    </row>
    <row r="25" spans="1:28">
      <c r="G25" s="32" t="s">
        <v>40</v>
      </c>
      <c r="H25" s="33">
        <f>SUM(H18:H24)</f>
        <v>15.968437989901521</v>
      </c>
      <c r="I25" s="42">
        <f>H25+9.89</f>
        <v>25.858437989901521</v>
      </c>
      <c r="J25" s="42"/>
      <c r="K25" s="46">
        <f>SUM(K18:K24)</f>
        <v>75.144959999999998</v>
      </c>
      <c r="L25" s="46">
        <f>K25/I25</f>
        <v>2.9060131176270705</v>
      </c>
      <c r="M25" t="s">
        <v>41</v>
      </c>
    </row>
    <row r="26" spans="1:28">
      <c r="G26" s="34" t="s">
        <v>42</v>
      </c>
      <c r="H26" s="35"/>
      <c r="I26" s="42"/>
      <c r="J26" s="42"/>
    </row>
    <row r="27" spans="1:28">
      <c r="G27" s="36" t="s">
        <v>43</v>
      </c>
      <c r="H27" s="37">
        <f>I25</f>
        <v>25.858437989901521</v>
      </c>
      <c r="I27" s="43"/>
      <c r="J27" s="43"/>
    </row>
  </sheetData>
  <pageMargins left="0.70833333333333304" right="0.70833333333333304" top="0.74791666666666701" bottom="0.74791666666666701" header="0.511811023622047" footer="0.511811023622047"/>
  <pageSetup paperSize="9" scale="6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6"/>
  <sheetViews>
    <sheetView showGridLines="0" topLeftCell="E29" zoomScale="144" zoomScaleNormal="100" workbookViewId="0">
      <selection activeCell="Q29" sqref="Q29"/>
    </sheetView>
  </sheetViews>
  <sheetFormatPr defaultColWidth="10.625" defaultRowHeight="15.95"/>
  <cols>
    <col min="1" max="1" width="10.875" customWidth="1"/>
    <col min="2" max="2" width="33.625" customWidth="1"/>
    <col min="3" max="8" width="10.875" customWidth="1"/>
    <col min="9" max="9" width="12.375" customWidth="1"/>
    <col min="10" max="10" width="20.5" customWidth="1"/>
    <col min="11" max="13" width="10.875" customWidth="1"/>
  </cols>
  <sheetData>
    <row r="1" spans="1:11" ht="50.1" customHeight="1"/>
    <row r="2" spans="1:11" ht="21" customHeight="1">
      <c r="A2" s="1" t="s">
        <v>0</v>
      </c>
    </row>
    <row r="4" spans="1:11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2"/>
      <c r="B5" s="3" t="s">
        <v>2</v>
      </c>
      <c r="C5" s="3"/>
      <c r="D5" s="3"/>
      <c r="E5" s="3"/>
      <c r="F5" s="3"/>
      <c r="G5" s="3"/>
      <c r="H5" s="3"/>
      <c r="I5" s="3"/>
      <c r="J5" s="3"/>
      <c r="K5" s="3"/>
    </row>
    <row r="6" spans="1:11">
      <c r="A6" s="2"/>
      <c r="B6" s="3" t="s">
        <v>3</v>
      </c>
      <c r="C6" s="3"/>
      <c r="D6" s="3"/>
      <c r="E6" s="3"/>
      <c r="F6" s="3"/>
      <c r="G6" s="3"/>
      <c r="H6" s="3"/>
      <c r="I6" s="3"/>
      <c r="J6" s="3"/>
      <c r="K6" s="3"/>
    </row>
    <row r="7" spans="1:11">
      <c r="A7" s="2"/>
      <c r="B7" s="3" t="s">
        <v>4</v>
      </c>
      <c r="C7" s="3"/>
      <c r="D7" s="3"/>
      <c r="E7" s="3"/>
      <c r="F7" s="3"/>
      <c r="G7" s="3"/>
      <c r="H7" s="3"/>
      <c r="I7" s="3"/>
      <c r="J7" s="3"/>
      <c r="K7" s="3"/>
    </row>
    <row r="8" spans="1:11">
      <c r="A8" s="2"/>
      <c r="B8" s="3" t="s">
        <v>5</v>
      </c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3" t="s">
        <v>6</v>
      </c>
      <c r="C9" s="3"/>
      <c r="D9" s="3"/>
      <c r="E9" s="3"/>
      <c r="F9" s="3"/>
      <c r="G9" s="3"/>
      <c r="H9" s="3"/>
      <c r="I9" s="3"/>
      <c r="J9" s="3"/>
      <c r="K9" s="3"/>
    </row>
    <row r="10" spans="1:11" ht="17.100000000000001" thickBot="1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</row>
    <row r="11" spans="1:11" ht="17.100000000000001" customHeight="1">
      <c r="A11" s="2"/>
      <c r="B11" s="4" t="s">
        <v>7</v>
      </c>
      <c r="C11" s="5" t="s">
        <v>8</v>
      </c>
      <c r="D11" s="3"/>
      <c r="E11" s="3"/>
      <c r="F11" s="3"/>
      <c r="G11" s="3"/>
      <c r="H11" s="3"/>
      <c r="I11" s="3"/>
      <c r="J11" s="3"/>
      <c r="K11" s="3"/>
    </row>
    <row r="12" spans="1:11" ht="17.100000000000001" customHeight="1">
      <c r="A12" s="2"/>
      <c r="B12" s="6" t="s">
        <v>9</v>
      </c>
      <c r="C12" s="7">
        <v>36</v>
      </c>
      <c r="D12" s="3" t="s">
        <v>10</v>
      </c>
      <c r="E12" s="3"/>
      <c r="F12" s="3"/>
      <c r="G12" s="3"/>
      <c r="H12" s="3"/>
      <c r="I12" s="3"/>
      <c r="J12" s="3"/>
      <c r="K12" s="3"/>
    </row>
    <row r="13" spans="1:11">
      <c r="A13" s="2"/>
      <c r="B13" s="8" t="s">
        <v>11</v>
      </c>
      <c r="C13" s="9">
        <f>C14/C12</f>
        <v>1.6666666666666667</v>
      </c>
      <c r="D13" s="3" t="s">
        <v>12</v>
      </c>
      <c r="E13" s="3"/>
      <c r="F13" s="3"/>
      <c r="G13" s="3"/>
      <c r="H13" s="3"/>
      <c r="I13" s="3"/>
      <c r="J13" s="3"/>
      <c r="K13" s="3"/>
    </row>
    <row r="14" spans="1:11">
      <c r="A14" s="2"/>
      <c r="B14" s="10" t="s">
        <v>13</v>
      </c>
      <c r="C14" s="11">
        <v>60</v>
      </c>
      <c r="D14" s="3" t="s">
        <v>10</v>
      </c>
      <c r="E14" s="3"/>
      <c r="F14" s="3" t="s">
        <v>14</v>
      </c>
      <c r="G14" s="3"/>
      <c r="H14" s="3"/>
      <c r="I14" s="3"/>
      <c r="J14" s="3"/>
      <c r="K14" s="3"/>
    </row>
    <row r="15" spans="1:11" ht="17.100000000000001" thickBot="1">
      <c r="A15" s="2"/>
      <c r="B15" s="12" t="s">
        <v>15</v>
      </c>
      <c r="C15" s="13">
        <v>30</v>
      </c>
      <c r="D15" s="3" t="s">
        <v>10</v>
      </c>
      <c r="E15" s="3"/>
      <c r="F15" s="3"/>
      <c r="G15" s="3"/>
      <c r="H15" s="3"/>
      <c r="I15" s="3"/>
      <c r="J15" s="3"/>
      <c r="K15" s="3"/>
    </row>
    <row r="16" spans="1:11" ht="17.100000000000001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51" customHeight="1">
      <c r="A17" s="2"/>
      <c r="B17" s="14" t="s">
        <v>16</v>
      </c>
      <c r="C17" s="15" t="s">
        <v>17</v>
      </c>
      <c r="D17" s="15" t="s">
        <v>18</v>
      </c>
      <c r="E17" s="15" t="s">
        <v>19</v>
      </c>
      <c r="F17" s="16" t="s">
        <v>20</v>
      </c>
      <c r="G17" s="17" t="s">
        <v>21</v>
      </c>
      <c r="H17" s="18" t="s">
        <v>22</v>
      </c>
      <c r="I17" s="40" t="s">
        <v>23</v>
      </c>
      <c r="J17" s="40" t="s">
        <v>24</v>
      </c>
      <c r="K17" s="19" t="s">
        <v>25</v>
      </c>
    </row>
    <row r="18" spans="1:11">
      <c r="A18" s="2"/>
      <c r="B18" s="20" t="s">
        <v>44</v>
      </c>
      <c r="C18">
        <v>19.600000000000001</v>
      </c>
      <c r="D18" s="21">
        <v>426.56</v>
      </c>
      <c r="E18" s="22">
        <f t="shared" ref="E18:E51" si="0">C18*1000000/(660*D18)</f>
        <v>69.619677646684409</v>
      </c>
      <c r="F18" s="23">
        <f t="shared" ref="F18:F51" si="1">C$15/(E18/C$13)</f>
        <v>0.7181877551020408</v>
      </c>
      <c r="G18" s="24">
        <v>2</v>
      </c>
      <c r="H18" s="25">
        <f>F18*G18</f>
        <v>1.4363755102040816</v>
      </c>
      <c r="I18" s="41">
        <v>1.5</v>
      </c>
      <c r="J18" s="41">
        <f>I18*(G18 - 1)</f>
        <v>1.5</v>
      </c>
      <c r="K18" s="26">
        <f>C18*F18</f>
        <v>14.07648</v>
      </c>
    </row>
    <row r="19" spans="1:11">
      <c r="A19" s="2"/>
      <c r="B19" s="20" t="s">
        <v>45</v>
      </c>
      <c r="C19">
        <v>16.8</v>
      </c>
      <c r="D19" s="21">
        <v>411.66</v>
      </c>
      <c r="E19" s="22">
        <f t="shared" si="0"/>
        <v>61.833905296957319</v>
      </c>
      <c r="F19" s="23">
        <f t="shared" si="1"/>
        <v>0.80861785714285728</v>
      </c>
      <c r="G19" s="24">
        <v>2</v>
      </c>
      <c r="H19" s="25">
        <f>F19*G19</f>
        <v>1.6172357142857146</v>
      </c>
      <c r="I19" s="41">
        <v>1.5</v>
      </c>
      <c r="J19" s="41">
        <f t="shared" ref="J19:J53" si="2">I19*(G19 - 1)</f>
        <v>1.5</v>
      </c>
      <c r="K19" s="26">
        <f>C19*F19</f>
        <v>13.584780000000002</v>
      </c>
    </row>
    <row r="20" spans="1:11">
      <c r="A20" s="2"/>
      <c r="B20" s="20" t="s">
        <v>46</v>
      </c>
      <c r="C20">
        <v>15.4</v>
      </c>
      <c r="D20" s="21">
        <v>357.8</v>
      </c>
      <c r="E20" s="22">
        <f t="shared" si="0"/>
        <v>65.213340786286565</v>
      </c>
      <c r="F20" s="23">
        <f t="shared" si="1"/>
        <v>0.76671428571428579</v>
      </c>
      <c r="G20" s="24">
        <v>2</v>
      </c>
      <c r="H20" s="25">
        <f>F20*G20</f>
        <v>1.5334285714285716</v>
      </c>
      <c r="I20" s="41">
        <v>1.5</v>
      </c>
      <c r="J20" s="41">
        <f t="shared" si="2"/>
        <v>1.5</v>
      </c>
      <c r="K20" s="26">
        <f>C20*F20</f>
        <v>11.807400000000001</v>
      </c>
    </row>
    <row r="21" spans="1:11">
      <c r="A21" s="2"/>
      <c r="B21" s="20" t="s">
        <v>47</v>
      </c>
      <c r="C21">
        <v>16</v>
      </c>
      <c r="D21" s="21">
        <v>350.7</v>
      </c>
      <c r="E21" s="22">
        <f t="shared" si="0"/>
        <v>69.125817628811646</v>
      </c>
      <c r="F21" s="23">
        <f t="shared" si="1"/>
        <v>0.72331875000000001</v>
      </c>
      <c r="G21" s="24">
        <v>2</v>
      </c>
      <c r="H21" s="25">
        <f>F21*G21</f>
        <v>1.4466375</v>
      </c>
      <c r="I21" s="41">
        <v>1.5</v>
      </c>
      <c r="J21" s="41">
        <f t="shared" si="2"/>
        <v>1.5</v>
      </c>
      <c r="K21" s="26">
        <f>C21*F21</f>
        <v>11.5731</v>
      </c>
    </row>
    <row r="22" spans="1:11">
      <c r="A22" s="2"/>
      <c r="B22" s="20" t="s">
        <v>48</v>
      </c>
      <c r="C22">
        <v>13.6</v>
      </c>
      <c r="D22" s="21">
        <v>337.9</v>
      </c>
      <c r="E22" s="22">
        <f t="shared" si="0"/>
        <v>60.98271857372184</v>
      </c>
      <c r="F22" s="23">
        <f t="shared" si="1"/>
        <v>0.81990441176470574</v>
      </c>
      <c r="G22" s="24">
        <v>2</v>
      </c>
      <c r="H22" s="25">
        <f>F22*G22</f>
        <v>1.6398088235294115</v>
      </c>
      <c r="I22" s="41">
        <v>1.5</v>
      </c>
      <c r="J22" s="41">
        <f t="shared" si="2"/>
        <v>1.5</v>
      </c>
      <c r="K22" s="26">
        <f>C22*F22</f>
        <v>11.150699999999997</v>
      </c>
    </row>
    <row r="23" spans="1:11">
      <c r="A23" s="2"/>
      <c r="B23" s="20" t="s">
        <v>49</v>
      </c>
      <c r="C23">
        <v>11.8</v>
      </c>
      <c r="D23" s="21">
        <v>337.82</v>
      </c>
      <c r="E23" s="22">
        <f t="shared" si="0"/>
        <v>52.924006508755788</v>
      </c>
      <c r="F23" s="23">
        <f t="shared" si="1"/>
        <v>0.94475084745762705</v>
      </c>
      <c r="G23" s="24">
        <v>2</v>
      </c>
      <c r="H23" s="25">
        <f>F23*G23</f>
        <v>1.8895016949152541</v>
      </c>
      <c r="I23" s="41">
        <v>1.5</v>
      </c>
      <c r="J23" s="41">
        <f t="shared" si="2"/>
        <v>1.5</v>
      </c>
      <c r="K23" s="26">
        <f>C23*F23</f>
        <v>11.148059999999999</v>
      </c>
    </row>
    <row r="24" spans="1:11">
      <c r="A24" s="2"/>
      <c r="B24" s="20" t="s">
        <v>50</v>
      </c>
      <c r="C24">
        <v>13.5</v>
      </c>
      <c r="D24" s="21">
        <v>397.03</v>
      </c>
      <c r="E24" s="22">
        <f t="shared" si="0"/>
        <v>51.518891405046105</v>
      </c>
      <c r="F24" s="23">
        <f t="shared" si="1"/>
        <v>0.97051777777777781</v>
      </c>
      <c r="G24" s="24">
        <v>2</v>
      </c>
      <c r="H24" s="25">
        <f>F24*G24</f>
        <v>1.9410355555555556</v>
      </c>
      <c r="I24" s="41">
        <v>1.5</v>
      </c>
      <c r="J24" s="41">
        <f t="shared" si="2"/>
        <v>1.5</v>
      </c>
      <c r="K24" s="26">
        <f>C24*F24</f>
        <v>13.101990000000001</v>
      </c>
    </row>
    <row r="25" spans="1:11">
      <c r="A25" s="2"/>
      <c r="B25" s="20" t="s">
        <v>51</v>
      </c>
      <c r="C25">
        <v>17</v>
      </c>
      <c r="D25" s="27">
        <v>343.07</v>
      </c>
      <c r="E25" s="22">
        <f t="shared" si="0"/>
        <v>75.079650676467665</v>
      </c>
      <c r="F25" s="23">
        <f t="shared" si="1"/>
        <v>0.66595941176470574</v>
      </c>
      <c r="G25" s="24">
        <v>2</v>
      </c>
      <c r="H25" s="25">
        <f>F25*G25</f>
        <v>1.3319188235294115</v>
      </c>
      <c r="I25" s="41">
        <v>1.5</v>
      </c>
      <c r="J25" s="41">
        <f t="shared" si="2"/>
        <v>1.5</v>
      </c>
      <c r="K25" s="26">
        <f>C25*F25</f>
        <v>11.321309999999997</v>
      </c>
    </row>
    <row r="26" spans="1:11">
      <c r="A26" s="2"/>
      <c r="B26" s="38" t="s">
        <v>52</v>
      </c>
      <c r="C26">
        <v>25.7</v>
      </c>
      <c r="D26" s="27">
        <v>374.77</v>
      </c>
      <c r="E26" s="22">
        <f t="shared" si="0"/>
        <v>103.90211046613641</v>
      </c>
      <c r="F26" s="23">
        <f t="shared" si="1"/>
        <v>0.48122217898832687</v>
      </c>
      <c r="G26" s="24">
        <v>2</v>
      </c>
      <c r="H26" s="25">
        <f>F26*G26</f>
        <v>0.96244435797665373</v>
      </c>
      <c r="I26" s="41">
        <v>1.5</v>
      </c>
      <c r="J26" s="41">
        <f t="shared" si="2"/>
        <v>1.5</v>
      </c>
      <c r="K26" s="26">
        <f>C26*F26</f>
        <v>12.36741</v>
      </c>
    </row>
    <row r="27" spans="1:11">
      <c r="A27" s="2"/>
      <c r="B27" s="38" t="s">
        <v>33</v>
      </c>
      <c r="C27">
        <v>11.6</v>
      </c>
      <c r="D27" s="27">
        <v>371.09</v>
      </c>
      <c r="E27" s="22">
        <f t="shared" si="0"/>
        <v>47.362520078033839</v>
      </c>
      <c r="F27" s="23">
        <f t="shared" si="1"/>
        <v>1.0556870689655171</v>
      </c>
      <c r="G27" s="24">
        <v>2</v>
      </c>
      <c r="H27" s="25">
        <f>F27*G27</f>
        <v>2.1113741379310342</v>
      </c>
      <c r="I27" s="41">
        <v>1.5</v>
      </c>
      <c r="J27" s="41">
        <f t="shared" si="2"/>
        <v>1.5</v>
      </c>
      <c r="K27" s="26">
        <f>C27*F27</f>
        <v>12.245969999999998</v>
      </c>
    </row>
    <row r="28" spans="1:11">
      <c r="A28" s="2"/>
      <c r="B28" s="39" t="s">
        <v>53</v>
      </c>
      <c r="C28">
        <v>10</v>
      </c>
      <c r="D28" s="21">
        <v>340</v>
      </c>
      <c r="E28" s="22">
        <f t="shared" si="0"/>
        <v>44.563279857397504</v>
      </c>
      <c r="F28" s="23">
        <f t="shared" si="1"/>
        <v>1.1220000000000001</v>
      </c>
      <c r="G28" s="24">
        <v>2</v>
      </c>
      <c r="H28" s="25">
        <f>F28*G28</f>
        <v>2.2440000000000002</v>
      </c>
      <c r="I28" s="41">
        <v>1.5</v>
      </c>
      <c r="J28" s="41">
        <f t="shared" si="2"/>
        <v>1.5</v>
      </c>
      <c r="K28" s="26">
        <f>C28*F28</f>
        <v>11.22</v>
      </c>
    </row>
    <row r="29" spans="1:11" ht="17.100000000000001" customHeight="1" thickBot="1">
      <c r="A29" s="2"/>
      <c r="B29" s="39" t="s">
        <v>54</v>
      </c>
      <c r="C29">
        <v>11.2</v>
      </c>
      <c r="D29" s="21">
        <v>332.45</v>
      </c>
      <c r="E29" s="22">
        <f t="shared" si="0"/>
        <v>51.044358459007277</v>
      </c>
      <c r="F29" s="28">
        <f t="shared" si="1"/>
        <v>0.97954017857142861</v>
      </c>
      <c r="G29" s="24">
        <v>2</v>
      </c>
      <c r="H29" s="25">
        <f>F29*G29</f>
        <v>1.9590803571428572</v>
      </c>
      <c r="I29" s="41">
        <v>1.5</v>
      </c>
      <c r="J29" s="41">
        <f t="shared" si="2"/>
        <v>1.5</v>
      </c>
      <c r="K29" s="26">
        <f>C29*F29</f>
        <v>10.97085</v>
      </c>
    </row>
    <row r="30" spans="1:11">
      <c r="A30" s="2"/>
      <c r="B30" s="29" t="s">
        <v>34</v>
      </c>
      <c r="C30" s="30">
        <v>9.3800000000000008</v>
      </c>
      <c r="D30" s="31">
        <v>300.70999999999998</v>
      </c>
      <c r="E30" s="22">
        <f t="shared" si="0"/>
        <v>47.261884247684527</v>
      </c>
      <c r="F30" s="23">
        <f t="shared" si="1"/>
        <v>1.0579349680170573</v>
      </c>
      <c r="G30" s="24">
        <v>2</v>
      </c>
      <c r="H30" s="25">
        <f>F30*G30</f>
        <v>2.1158699360341147</v>
      </c>
      <c r="I30" s="41">
        <v>1.5</v>
      </c>
      <c r="J30" s="41">
        <f t="shared" si="2"/>
        <v>1.5</v>
      </c>
      <c r="K30" s="26">
        <f>C30*F30</f>
        <v>9.923429999999998</v>
      </c>
    </row>
    <row r="31" spans="1:11">
      <c r="A31" s="2"/>
      <c r="B31" s="29" t="s">
        <v>35</v>
      </c>
      <c r="C31" s="30">
        <v>4.1900000000000004</v>
      </c>
      <c r="D31" s="31">
        <v>290.37</v>
      </c>
      <c r="E31" s="22">
        <f t="shared" si="0"/>
        <v>21.863432339721214</v>
      </c>
      <c r="F31" s="23">
        <f t="shared" si="1"/>
        <v>2.2869236276849643</v>
      </c>
      <c r="G31" s="24">
        <v>2</v>
      </c>
      <c r="H31" s="44">
        <f>F31*G31</f>
        <v>4.5738472553699285</v>
      </c>
      <c r="I31" s="45">
        <v>2.5</v>
      </c>
      <c r="J31" s="45">
        <f t="shared" si="2"/>
        <v>2.5</v>
      </c>
      <c r="K31" s="26">
        <f>C31*F31</f>
        <v>9.5822100000000017</v>
      </c>
    </row>
    <row r="32" spans="1:11" ht="17.100000000000001" customHeight="1">
      <c r="A32" s="2"/>
      <c r="B32" s="29" t="s">
        <v>55</v>
      </c>
      <c r="C32" s="30">
        <v>12.8</v>
      </c>
      <c r="D32" s="31">
        <v>304.87</v>
      </c>
      <c r="E32" s="22">
        <f t="shared" si="0"/>
        <v>63.613800616457482</v>
      </c>
      <c r="F32" s="23">
        <f t="shared" si="1"/>
        <v>0.78599296875000013</v>
      </c>
      <c r="G32" s="24">
        <v>2</v>
      </c>
      <c r="H32" s="25">
        <f>F32*G32</f>
        <v>1.5719859375000003</v>
      </c>
      <c r="I32" s="41">
        <v>1.5</v>
      </c>
      <c r="J32" s="41">
        <f t="shared" si="2"/>
        <v>1.5</v>
      </c>
      <c r="K32" s="26">
        <f>C32*F32</f>
        <v>10.060710000000002</v>
      </c>
    </row>
    <row r="33" spans="1:11">
      <c r="A33" s="2"/>
      <c r="B33" s="3" t="s">
        <v>56</v>
      </c>
      <c r="C33" s="3">
        <v>13.5</v>
      </c>
      <c r="D33" s="3">
        <v>323.67</v>
      </c>
      <c r="E33" s="22">
        <f t="shared" si="0"/>
        <v>63.195679100767613</v>
      </c>
      <c r="F33" s="23">
        <f t="shared" si="1"/>
        <v>0.79119333333333342</v>
      </c>
      <c r="G33" s="24">
        <v>2</v>
      </c>
      <c r="H33" s="25">
        <f>F33*G33</f>
        <v>1.5823866666666668</v>
      </c>
      <c r="I33" s="41">
        <v>1.5</v>
      </c>
      <c r="J33" s="41">
        <f t="shared" si="2"/>
        <v>1.5</v>
      </c>
      <c r="K33" s="26">
        <f>C33*F33</f>
        <v>10.68111</v>
      </c>
    </row>
    <row r="34" spans="1:11">
      <c r="A34" s="29"/>
      <c r="B34" t="s">
        <v>57</v>
      </c>
      <c r="C34">
        <v>15.4</v>
      </c>
      <c r="D34">
        <v>321.44</v>
      </c>
      <c r="E34" s="22">
        <f t="shared" si="0"/>
        <v>72.59001161440186</v>
      </c>
      <c r="F34" s="23">
        <f t="shared" si="1"/>
        <v>0.68880000000000008</v>
      </c>
      <c r="G34" s="24">
        <v>2</v>
      </c>
      <c r="H34" s="25">
        <f>F34*G34</f>
        <v>1.3776000000000002</v>
      </c>
      <c r="I34" s="41">
        <v>1.5</v>
      </c>
      <c r="J34" s="41">
        <f t="shared" si="2"/>
        <v>1.5</v>
      </c>
      <c r="K34" s="26">
        <f>C34*F34</f>
        <v>10.607520000000001</v>
      </c>
    </row>
    <row r="35" spans="1:11">
      <c r="A35" s="29"/>
      <c r="B35" t="s">
        <v>58</v>
      </c>
      <c r="C35">
        <v>12.9</v>
      </c>
      <c r="D35">
        <v>314.54000000000002</v>
      </c>
      <c r="E35" s="22">
        <f t="shared" si="0"/>
        <v>62.139805892587724</v>
      </c>
      <c r="F35" s="23">
        <f t="shared" si="1"/>
        <v>0.80463720930232574</v>
      </c>
      <c r="G35" s="24">
        <v>2</v>
      </c>
      <c r="H35" s="25">
        <f>F35*G35</f>
        <v>1.6092744186046515</v>
      </c>
      <c r="I35" s="41">
        <v>1.5</v>
      </c>
      <c r="J35" s="41">
        <f t="shared" si="2"/>
        <v>1.5</v>
      </c>
      <c r="K35" s="26">
        <f>C35*F35</f>
        <v>10.379820000000002</v>
      </c>
    </row>
    <row r="36" spans="1:11">
      <c r="A36" s="29"/>
      <c r="B36" t="s">
        <v>36</v>
      </c>
      <c r="C36">
        <v>5.68</v>
      </c>
      <c r="D36">
        <v>328.61</v>
      </c>
      <c r="E36" s="22">
        <f t="shared" si="0"/>
        <v>26.189283972065994</v>
      </c>
      <c r="F36" s="23">
        <f t="shared" si="1"/>
        <v>1.9091778169014084</v>
      </c>
      <c r="G36" s="24">
        <v>1</v>
      </c>
      <c r="H36" s="25">
        <f>F36*G36</f>
        <v>1.9091778169014084</v>
      </c>
      <c r="I36" s="25">
        <f>H36</f>
        <v>1.9091778169014084</v>
      </c>
      <c r="J36" s="41">
        <f>I36*(G36 - 1)</f>
        <v>0</v>
      </c>
      <c r="K36" s="26">
        <f>C36*F36</f>
        <v>10.84413</v>
      </c>
    </row>
    <row r="37" spans="1:11">
      <c r="A37" s="3"/>
      <c r="B37" t="s">
        <v>37</v>
      </c>
      <c r="C37">
        <v>6.07</v>
      </c>
      <c r="D37">
        <v>326.83999999999997</v>
      </c>
      <c r="E37" s="22">
        <f t="shared" si="0"/>
        <v>28.139057939571952</v>
      </c>
      <c r="F37" s="23">
        <f t="shared" si="1"/>
        <v>1.7768896210873146</v>
      </c>
      <c r="G37" s="24">
        <v>1</v>
      </c>
      <c r="H37" s="25">
        <f>F37*G37</f>
        <v>1.7768896210873146</v>
      </c>
      <c r="I37" s="25">
        <f t="shared" ref="I37:I41" si="3">H37</f>
        <v>1.7768896210873146</v>
      </c>
      <c r="J37" s="41">
        <f t="shared" si="2"/>
        <v>0</v>
      </c>
      <c r="K37" s="26">
        <f>C37*F37</f>
        <v>10.78572</v>
      </c>
    </row>
    <row r="38" spans="1:11">
      <c r="B38" t="s">
        <v>59</v>
      </c>
      <c r="C38">
        <v>4.4000000000000004</v>
      </c>
      <c r="D38">
        <v>337.84</v>
      </c>
      <c r="E38" s="22">
        <f t="shared" si="0"/>
        <v>19.733207040808274</v>
      </c>
      <c r="F38" s="23">
        <f t="shared" si="1"/>
        <v>2.5337999999999998</v>
      </c>
      <c r="G38" s="24">
        <v>1</v>
      </c>
      <c r="H38" s="25">
        <f>F38*G38</f>
        <v>2.5337999999999998</v>
      </c>
      <c r="I38" s="25">
        <f t="shared" si="3"/>
        <v>2.5337999999999998</v>
      </c>
      <c r="J38" s="41">
        <f t="shared" si="2"/>
        <v>0</v>
      </c>
      <c r="K38" s="26">
        <f>C38*F38</f>
        <v>11.148720000000001</v>
      </c>
    </row>
    <row r="39" spans="1:11">
      <c r="B39" t="s">
        <v>60</v>
      </c>
      <c r="C39">
        <v>8.24</v>
      </c>
      <c r="D39">
        <v>436.26</v>
      </c>
      <c r="E39" s="22">
        <f t="shared" si="0"/>
        <v>28.617907864228869</v>
      </c>
      <c r="F39" s="23">
        <f t="shared" si="1"/>
        <v>1.7471577669902911</v>
      </c>
      <c r="G39" s="24">
        <v>1</v>
      </c>
      <c r="H39" s="25">
        <f>F39*G39</f>
        <v>1.7471577669902911</v>
      </c>
      <c r="I39" s="25">
        <f t="shared" si="3"/>
        <v>1.7471577669902911</v>
      </c>
      <c r="J39" s="41">
        <f t="shared" si="2"/>
        <v>0</v>
      </c>
      <c r="K39" s="26">
        <f>C39*F39</f>
        <v>14.396579999999998</v>
      </c>
    </row>
    <row r="40" spans="1:11">
      <c r="B40" t="s">
        <v>38</v>
      </c>
      <c r="C40">
        <v>8.6</v>
      </c>
      <c r="D40">
        <v>336.04</v>
      </c>
      <c r="E40" s="22">
        <f t="shared" si="0"/>
        <v>38.776047584522765</v>
      </c>
      <c r="F40" s="23">
        <f t="shared" si="1"/>
        <v>1.2894558139534884</v>
      </c>
      <c r="G40" s="24">
        <v>1</v>
      </c>
      <c r="H40" s="25">
        <f>F40*G40</f>
        <v>1.2894558139534884</v>
      </c>
      <c r="I40" s="25">
        <f t="shared" si="3"/>
        <v>1.2894558139534884</v>
      </c>
      <c r="J40" s="41">
        <f t="shared" si="2"/>
        <v>0</v>
      </c>
      <c r="K40" s="26">
        <f>C40*F40</f>
        <v>11.089319999999999</v>
      </c>
    </row>
    <row r="41" spans="1:11" ht="17.100000000000001" thickBot="1">
      <c r="B41" t="s">
        <v>39</v>
      </c>
      <c r="C41">
        <v>4.87</v>
      </c>
      <c r="D41">
        <v>323.45999999999998</v>
      </c>
      <c r="E41" s="22">
        <f t="shared" si="0"/>
        <v>22.812056757521422</v>
      </c>
      <c r="F41" s="28">
        <f t="shared" si="1"/>
        <v>2.1918234086242299</v>
      </c>
      <c r="G41" s="24">
        <v>1</v>
      </c>
      <c r="H41" s="25">
        <f>F41*G41</f>
        <v>2.1918234086242299</v>
      </c>
      <c r="I41" s="25">
        <f t="shared" si="3"/>
        <v>2.1918234086242299</v>
      </c>
      <c r="J41" s="41">
        <f t="shared" si="2"/>
        <v>0</v>
      </c>
      <c r="K41" s="26">
        <f>C41*F41</f>
        <v>10.67418</v>
      </c>
    </row>
    <row r="42" spans="1:11">
      <c r="B42" t="s">
        <v>61</v>
      </c>
      <c r="C42">
        <v>12.2</v>
      </c>
      <c r="D42">
        <v>348.6</v>
      </c>
      <c r="E42" s="22">
        <f t="shared" si="0"/>
        <v>53.025956640414464</v>
      </c>
      <c r="F42" s="23">
        <f t="shared" si="1"/>
        <v>0.9429344262295084</v>
      </c>
      <c r="G42" s="24">
        <v>2</v>
      </c>
      <c r="H42" s="25">
        <f>F42*G42</f>
        <v>1.8858688524590168</v>
      </c>
      <c r="I42" s="41">
        <v>1.5</v>
      </c>
      <c r="J42" s="41">
        <f t="shared" si="2"/>
        <v>1.5</v>
      </c>
      <c r="K42" s="26">
        <f t="shared" ref="K42:K53" si="4">C42*F42</f>
        <v>11.503800000000002</v>
      </c>
    </row>
    <row r="43" spans="1:11">
      <c r="B43" t="s">
        <v>62</v>
      </c>
      <c r="C43">
        <v>20.6</v>
      </c>
      <c r="D43">
        <v>306.39999999999998</v>
      </c>
      <c r="E43" s="22">
        <f t="shared" si="0"/>
        <v>101.86723633198831</v>
      </c>
      <c r="F43" s="23">
        <f t="shared" si="1"/>
        <v>0.49083495145631056</v>
      </c>
      <c r="G43" s="24">
        <v>2</v>
      </c>
      <c r="H43" s="25">
        <f>F43*G43</f>
        <v>0.98166990291262113</v>
      </c>
      <c r="I43" s="41">
        <v>1.5</v>
      </c>
      <c r="J43" s="41">
        <f t="shared" si="2"/>
        <v>1.5</v>
      </c>
      <c r="K43" s="26">
        <f t="shared" si="4"/>
        <v>10.111199999999998</v>
      </c>
    </row>
    <row r="44" spans="1:11">
      <c r="B44" t="s">
        <v>63</v>
      </c>
      <c r="C44">
        <v>10.7</v>
      </c>
      <c r="D44">
        <v>325.32</v>
      </c>
      <c r="E44" s="22">
        <f t="shared" si="0"/>
        <v>49.834382184068652</v>
      </c>
      <c r="F44" s="23">
        <f t="shared" si="1"/>
        <v>1.0033233644859814</v>
      </c>
      <c r="G44" s="24">
        <v>2</v>
      </c>
      <c r="H44" s="25">
        <f>F44*G44</f>
        <v>2.0066467289719627</v>
      </c>
      <c r="I44" s="41">
        <v>1.5</v>
      </c>
      <c r="J44" s="41">
        <f t="shared" si="2"/>
        <v>1.5</v>
      </c>
      <c r="K44" s="26">
        <f t="shared" si="4"/>
        <v>10.73556</v>
      </c>
    </row>
    <row r="45" spans="1:11">
      <c r="B45" t="s">
        <v>64</v>
      </c>
      <c r="C45">
        <v>6.69</v>
      </c>
      <c r="D45">
        <v>359.14</v>
      </c>
      <c r="E45" s="22">
        <f t="shared" si="0"/>
        <v>28.223989631797174</v>
      </c>
      <c r="F45" s="23">
        <f t="shared" si="1"/>
        <v>1.7715426008968611</v>
      </c>
      <c r="G45" s="24">
        <v>2</v>
      </c>
      <c r="H45" s="44">
        <f>F45*G45</f>
        <v>3.5430852017937222</v>
      </c>
      <c r="I45" s="45">
        <v>2</v>
      </c>
      <c r="J45" s="45">
        <f t="shared" si="2"/>
        <v>2</v>
      </c>
      <c r="K45" s="26">
        <f t="shared" si="4"/>
        <v>11.851620000000002</v>
      </c>
    </row>
    <row r="46" spans="1:11">
      <c r="B46" t="s">
        <v>65</v>
      </c>
      <c r="C46">
        <v>9.81</v>
      </c>
      <c r="D46">
        <v>386.8</v>
      </c>
      <c r="E46" s="22">
        <f t="shared" si="0"/>
        <v>38.427188116950269</v>
      </c>
      <c r="F46" s="23">
        <f t="shared" si="1"/>
        <v>1.3011620795107035</v>
      </c>
      <c r="G46" s="24">
        <v>2</v>
      </c>
      <c r="H46" s="25">
        <f>F46*G46</f>
        <v>2.602324159021407</v>
      </c>
      <c r="I46" s="41">
        <v>1.5</v>
      </c>
      <c r="J46" s="41">
        <f t="shared" si="2"/>
        <v>1.5</v>
      </c>
      <c r="K46" s="26">
        <f t="shared" si="4"/>
        <v>12.764400000000002</v>
      </c>
    </row>
    <row r="47" spans="1:11">
      <c r="B47" t="s">
        <v>66</v>
      </c>
      <c r="C47">
        <v>11.8</v>
      </c>
      <c r="D47">
        <v>394.42</v>
      </c>
      <c r="E47" s="22">
        <f t="shared" si="0"/>
        <v>45.329313621996548</v>
      </c>
      <c r="F47" s="23">
        <f t="shared" si="1"/>
        <v>1.1030389830508476</v>
      </c>
      <c r="G47" s="24">
        <v>2</v>
      </c>
      <c r="H47" s="25">
        <f>F47*G47</f>
        <v>2.2060779661016952</v>
      </c>
      <c r="I47" s="41">
        <v>1.5</v>
      </c>
      <c r="J47" s="41">
        <f t="shared" si="2"/>
        <v>1.5</v>
      </c>
      <c r="K47" s="26">
        <f t="shared" si="4"/>
        <v>13.015860000000002</v>
      </c>
    </row>
    <row r="48" spans="1:11">
      <c r="B48" t="s">
        <v>67</v>
      </c>
      <c r="C48">
        <v>16.3</v>
      </c>
      <c r="D48">
        <v>347.27</v>
      </c>
      <c r="E48" s="22">
        <f t="shared" si="0"/>
        <v>71.117486961066888</v>
      </c>
      <c r="F48" s="23">
        <f t="shared" si="1"/>
        <v>0.70306196319018399</v>
      </c>
      <c r="G48" s="24">
        <v>2</v>
      </c>
      <c r="H48" s="25">
        <f>F48*G48</f>
        <v>1.406123926380368</v>
      </c>
      <c r="I48" s="41">
        <v>1.5</v>
      </c>
      <c r="J48" s="41">
        <f t="shared" si="2"/>
        <v>1.5</v>
      </c>
      <c r="K48" s="26">
        <f t="shared" si="4"/>
        <v>11.459909999999999</v>
      </c>
    </row>
    <row r="49" spans="2:13">
      <c r="B49" t="s">
        <v>68</v>
      </c>
      <c r="C49">
        <v>30</v>
      </c>
      <c r="D49">
        <v>425.49</v>
      </c>
      <c r="E49" s="22">
        <f t="shared" si="0"/>
        <v>106.8287044455697</v>
      </c>
      <c r="F49" s="23">
        <f t="shared" si="1"/>
        <v>0.46803900000000009</v>
      </c>
      <c r="G49" s="24">
        <v>2</v>
      </c>
      <c r="H49" s="25">
        <f>F49*G49</f>
        <v>0.93607800000000019</v>
      </c>
      <c r="I49" s="41">
        <v>1.5</v>
      </c>
      <c r="J49" s="41">
        <f t="shared" si="2"/>
        <v>1.5</v>
      </c>
      <c r="K49" s="26">
        <f t="shared" si="4"/>
        <v>14.041170000000003</v>
      </c>
    </row>
    <row r="50" spans="2:13">
      <c r="B50" t="s">
        <v>69</v>
      </c>
      <c r="C50">
        <v>10.6</v>
      </c>
      <c r="D50">
        <v>371.47</v>
      </c>
      <c r="E50" s="22">
        <f t="shared" si="0"/>
        <v>43.235270844499041</v>
      </c>
      <c r="F50" s="23">
        <f t="shared" si="1"/>
        <v>1.1564632075471699</v>
      </c>
      <c r="G50" s="24">
        <v>2</v>
      </c>
      <c r="H50" s="25">
        <f>F50*G50</f>
        <v>2.3129264150943398</v>
      </c>
      <c r="I50" s="41">
        <v>1.5</v>
      </c>
      <c r="J50" s="41">
        <f t="shared" si="2"/>
        <v>1.5</v>
      </c>
      <c r="K50" s="26">
        <f t="shared" si="4"/>
        <v>12.258510000000001</v>
      </c>
    </row>
    <row r="51" spans="2:13">
      <c r="B51" t="s">
        <v>70</v>
      </c>
      <c r="C51">
        <v>12.9</v>
      </c>
      <c r="D51">
        <v>374.4</v>
      </c>
      <c r="E51" s="22">
        <f t="shared" si="0"/>
        <v>52.204739704739708</v>
      </c>
      <c r="F51" s="23">
        <f t="shared" si="1"/>
        <v>0.95776744186046514</v>
      </c>
      <c r="G51" s="24">
        <v>2</v>
      </c>
      <c r="H51" s="25">
        <f>F51*G51</f>
        <v>1.9155348837209303</v>
      </c>
      <c r="I51" s="41">
        <v>1.5</v>
      </c>
      <c r="J51" s="41">
        <f t="shared" si="2"/>
        <v>1.5</v>
      </c>
      <c r="K51" s="26">
        <f t="shared" si="4"/>
        <v>12.3552</v>
      </c>
    </row>
    <row r="52" spans="2:13">
      <c r="B52" t="s">
        <v>71</v>
      </c>
      <c r="C52">
        <v>29</v>
      </c>
      <c r="D52">
        <v>349.45</v>
      </c>
      <c r="E52" s="22">
        <f t="shared" ref="E52:E53" si="5">C52*1000000/(660*D52)</f>
        <v>125.7387149503332</v>
      </c>
      <c r="F52" s="23">
        <f t="shared" ref="F52:F53" si="6">C$15/(E52/C$13)</f>
        <v>0.39765</v>
      </c>
      <c r="G52" s="24">
        <v>4</v>
      </c>
      <c r="H52" s="44">
        <f>F52*G52</f>
        <v>1.5906</v>
      </c>
      <c r="I52" s="45">
        <v>1.5</v>
      </c>
      <c r="J52" s="45">
        <f t="shared" si="2"/>
        <v>4.5</v>
      </c>
      <c r="K52" s="26">
        <f t="shared" si="4"/>
        <v>11.53185</v>
      </c>
    </row>
    <row r="53" spans="2:13">
      <c r="B53" t="s">
        <v>72</v>
      </c>
      <c r="C53">
        <v>12.6</v>
      </c>
      <c r="D53">
        <v>362.43</v>
      </c>
      <c r="E53" s="22">
        <f t="shared" si="5"/>
        <v>52.674748478076012</v>
      </c>
      <c r="F53" s="23">
        <f t="shared" si="6"/>
        <v>0.94922142857142877</v>
      </c>
      <c r="G53" s="24">
        <v>2</v>
      </c>
      <c r="H53" s="25">
        <f>F53*G53</f>
        <v>1.8984428571428575</v>
      </c>
      <c r="I53" s="41">
        <v>1.5</v>
      </c>
      <c r="J53" s="41">
        <f t="shared" si="2"/>
        <v>1.5</v>
      </c>
      <c r="K53" s="26">
        <f t="shared" si="4"/>
        <v>11.960190000000003</v>
      </c>
    </row>
    <row r="54" spans="2:13">
      <c r="G54" s="32" t="s">
        <v>40</v>
      </c>
      <c r="H54" s="33">
        <f>SUM(H18:H53)</f>
        <v>67.677488581829564</v>
      </c>
      <c r="I54" s="42">
        <f>H54+9.89</f>
        <v>77.567488581829565</v>
      </c>
      <c r="J54" s="42"/>
      <c r="K54" s="46">
        <f>SUM(K18:K53)</f>
        <v>418.33077000000009</v>
      </c>
      <c r="L54">
        <f>K54/I54</f>
        <v>5.3931199481685352</v>
      </c>
      <c r="M54" t="s">
        <v>41</v>
      </c>
    </row>
    <row r="55" spans="2:13">
      <c r="G55" s="34" t="s">
        <v>42</v>
      </c>
      <c r="H55" s="35"/>
      <c r="I55" s="42"/>
      <c r="J55" s="42"/>
    </row>
    <row r="56" spans="2:13" ht="17.100000000000001" thickBot="1">
      <c r="G56" s="36" t="s">
        <v>43</v>
      </c>
      <c r="H56" s="37">
        <f>I54</f>
        <v>77.567488581829565</v>
      </c>
      <c r="I56" s="43"/>
      <c r="J56" s="43"/>
    </row>
  </sheetData>
  <pageMargins left="0.70833333333333304" right="0.70833333333333304" top="0.74791666666666701" bottom="0.74791666666666701" header="0.511811023622047" footer="0.511811023622047"/>
  <pageSetup paperSize="9" scale="6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NTA1LjcwMDAwMDAwMDAwMDA1fDExNjM5NDYvMzg5L0VudHJ5UGFydC8xNzAxMjMyODI0fDEyODMuNjk5OTk5OTk5OTk5OA==</eid>
  <version>1</version>
  <updated-at>2025-10-27T19:56:16Z</updated-at>
</LabArchives>
</file>

<file path=customXml/itemProps1.xml><?xml version="1.0" encoding="utf-8"?>
<ds:datastoreItem xmlns:ds="http://schemas.openxmlformats.org/officeDocument/2006/customXml" ds:itemID="{B473F4F2-8C00-4A77-BC75-925329F65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JAMIE FREEMAN</cp:lastModifiedBy>
  <cp:revision>6</cp:revision>
  <dcterms:created xsi:type="dcterms:W3CDTF">2022-10-28T10:29:12Z</dcterms:created>
  <dcterms:modified xsi:type="dcterms:W3CDTF">2025-11-17T22:32:22Z</dcterms:modified>
  <cp:category/>
  <cp:contentStatus/>
</cp:coreProperties>
</file>