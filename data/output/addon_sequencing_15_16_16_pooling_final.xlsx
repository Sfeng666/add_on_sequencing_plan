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imaj\Downloads\"/>
    </mc:Choice>
  </mc:AlternateContent>
  <xr:revisionPtr revIDLastSave="0" documentId="13_ncr:1_{A9B21CAE-60A3-4B7A-B210-B0CA0157B8DC}" xr6:coauthVersionLast="47" xr6:coauthVersionMax="47" xr10:uidLastSave="{00000000-0000-0000-0000-000000000000}"/>
  <bookViews>
    <workbookView xWindow="45435" yWindow="1665" windowWidth="20460" windowHeight="13410" activeTab="3" xr2:uid="{00000000-000D-0000-FFFF-FFFF00000000}"/>
  </bookViews>
  <sheets>
    <sheet name="ATAC-seq_1" sheetId="1" r:id="rId1"/>
    <sheet name="ATAC-seq_2" sheetId="2" r:id="rId2"/>
    <sheet name="RNA-seq" sheetId="3" r:id="rId3"/>
    <sheet name="sRNA-seq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" l="1"/>
  <c r="G32" i="4" s="1"/>
  <c r="H32" i="4" s="1"/>
  <c r="E31" i="4"/>
  <c r="G31" i="4" s="1"/>
  <c r="H31" i="4" s="1"/>
  <c r="E30" i="4"/>
  <c r="G30" i="4" s="1"/>
  <c r="H30" i="4" s="1"/>
  <c r="E29" i="4"/>
  <c r="G29" i="4" s="1"/>
  <c r="H29" i="4" s="1"/>
  <c r="E28" i="4"/>
  <c r="G28" i="4" s="1"/>
  <c r="H28" i="4" s="1"/>
  <c r="E27" i="4"/>
  <c r="G27" i="4" s="1"/>
  <c r="H27" i="4" s="1"/>
  <c r="E26" i="4"/>
  <c r="G26" i="4" s="1"/>
  <c r="H26" i="4" s="1"/>
  <c r="E25" i="4"/>
  <c r="G25" i="4" s="1"/>
  <c r="H25" i="4" s="1"/>
  <c r="E24" i="4"/>
  <c r="G24" i="4" s="1"/>
  <c r="H24" i="4" s="1"/>
  <c r="E23" i="4"/>
  <c r="G23" i="4" s="1"/>
  <c r="H23" i="4" s="1"/>
  <c r="E22" i="4"/>
  <c r="G22" i="4" s="1"/>
  <c r="H22" i="4" s="1"/>
  <c r="E21" i="4"/>
  <c r="G21" i="4" s="1"/>
  <c r="H21" i="4" s="1"/>
  <c r="E20" i="4"/>
  <c r="G20" i="4" s="1"/>
  <c r="H20" i="4" s="1"/>
  <c r="E19" i="4"/>
  <c r="G19" i="4" s="1"/>
  <c r="H19" i="4" s="1"/>
  <c r="E18" i="4"/>
  <c r="G18" i="4" s="1"/>
  <c r="H18" i="4" s="1"/>
  <c r="E17" i="4"/>
  <c r="G17" i="4" s="1"/>
  <c r="H17" i="4" s="1"/>
  <c r="C12" i="4"/>
  <c r="E32" i="3"/>
  <c r="G32" i="3" s="1"/>
  <c r="H32" i="3" s="1"/>
  <c r="E31" i="3"/>
  <c r="G31" i="3" s="1"/>
  <c r="H31" i="3" s="1"/>
  <c r="E30" i="3"/>
  <c r="G30" i="3" s="1"/>
  <c r="H30" i="3" s="1"/>
  <c r="E29" i="3"/>
  <c r="G29" i="3" s="1"/>
  <c r="H29" i="3" s="1"/>
  <c r="E28" i="3"/>
  <c r="G28" i="3" s="1"/>
  <c r="H28" i="3" s="1"/>
  <c r="E27" i="3"/>
  <c r="G27" i="3" s="1"/>
  <c r="H27" i="3" s="1"/>
  <c r="E26" i="3"/>
  <c r="G26" i="3" s="1"/>
  <c r="H26" i="3" s="1"/>
  <c r="E25" i="3"/>
  <c r="G25" i="3" s="1"/>
  <c r="H25" i="3" s="1"/>
  <c r="E24" i="3"/>
  <c r="G24" i="3" s="1"/>
  <c r="H24" i="3" s="1"/>
  <c r="E23" i="3"/>
  <c r="G23" i="3" s="1"/>
  <c r="H23" i="3" s="1"/>
  <c r="E22" i="3"/>
  <c r="G22" i="3" s="1"/>
  <c r="H22" i="3" s="1"/>
  <c r="H21" i="3"/>
  <c r="E21" i="3"/>
  <c r="G21" i="3" s="1"/>
  <c r="E20" i="3"/>
  <c r="G20" i="3" s="1"/>
  <c r="H20" i="3" s="1"/>
  <c r="E19" i="3"/>
  <c r="G19" i="3" s="1"/>
  <c r="H19" i="3" s="1"/>
  <c r="E18" i="3"/>
  <c r="G18" i="3" s="1"/>
  <c r="H18" i="3" s="1"/>
  <c r="E17" i="3"/>
  <c r="G17" i="3" s="1"/>
  <c r="H17" i="3" s="1"/>
  <c r="C12" i="3"/>
  <c r="N32" i="2"/>
  <c r="E31" i="2"/>
  <c r="G31" i="2" s="1"/>
  <c r="H31" i="2" s="1"/>
  <c r="E30" i="2"/>
  <c r="G30" i="2" s="1"/>
  <c r="H30" i="2" s="1"/>
  <c r="H29" i="2"/>
  <c r="E29" i="2"/>
  <c r="G29" i="2" s="1"/>
  <c r="E28" i="2"/>
  <c r="G28" i="2" s="1"/>
  <c r="H28" i="2" s="1"/>
  <c r="E27" i="2"/>
  <c r="G27" i="2" s="1"/>
  <c r="H27" i="2" s="1"/>
  <c r="H26" i="2"/>
  <c r="E26" i="2"/>
  <c r="G26" i="2" s="1"/>
  <c r="E25" i="2"/>
  <c r="G25" i="2" s="1"/>
  <c r="H25" i="2" s="1"/>
  <c r="E24" i="2"/>
  <c r="G24" i="2" s="1"/>
  <c r="H24" i="2" s="1"/>
  <c r="E23" i="2"/>
  <c r="G23" i="2" s="1"/>
  <c r="H23" i="2" s="1"/>
  <c r="E22" i="2"/>
  <c r="G22" i="2" s="1"/>
  <c r="H22" i="2" s="1"/>
  <c r="E21" i="2"/>
  <c r="G21" i="2" s="1"/>
  <c r="H21" i="2" s="1"/>
  <c r="H20" i="2"/>
  <c r="E20" i="2"/>
  <c r="G20" i="2" s="1"/>
  <c r="E19" i="2"/>
  <c r="G19" i="2" s="1"/>
  <c r="H19" i="2" s="1"/>
  <c r="E18" i="2"/>
  <c r="G18" i="2" s="1"/>
  <c r="H18" i="2" s="1"/>
  <c r="C13" i="2"/>
  <c r="N19" i="1"/>
  <c r="E18" i="1"/>
  <c r="G18" i="1" s="1"/>
  <c r="H18" i="1" s="1"/>
  <c r="C13" i="1"/>
  <c r="M22" i="2" l="1"/>
  <c r="I22" i="2"/>
  <c r="I23" i="2"/>
  <c r="J23" i="2" s="1"/>
  <c r="M23" i="2"/>
  <c r="M28" i="3"/>
  <c r="I28" i="3"/>
  <c r="M25" i="2"/>
  <c r="I25" i="2"/>
  <c r="J25" i="2" s="1"/>
  <c r="I18" i="3"/>
  <c r="J18" i="3"/>
  <c r="M18" i="3"/>
  <c r="M19" i="3"/>
  <c r="I19" i="3"/>
  <c r="J19" i="3" s="1"/>
  <c r="I30" i="3"/>
  <c r="J30" i="3" s="1"/>
  <c r="M30" i="3"/>
  <c r="M31" i="3"/>
  <c r="I31" i="3"/>
  <c r="J31" i="3" s="1"/>
  <c r="I27" i="3"/>
  <c r="J27" i="3" s="1"/>
  <c r="M27" i="3"/>
  <c r="M19" i="2"/>
  <c r="I19" i="2"/>
  <c r="J19" i="2" s="1"/>
  <c r="M22" i="3"/>
  <c r="I22" i="3"/>
  <c r="J29" i="4"/>
  <c r="I24" i="3"/>
  <c r="J24" i="3" s="1"/>
  <c r="M24" i="3"/>
  <c r="M28" i="2"/>
  <c r="I28" i="2"/>
  <c r="J28" i="2" s="1"/>
  <c r="M25" i="3"/>
  <c r="I25" i="3"/>
  <c r="I26" i="2"/>
  <c r="J26" i="2" s="1"/>
  <c r="M26" i="2"/>
  <c r="I18" i="4"/>
  <c r="M18" i="4"/>
  <c r="J18" i="4"/>
  <c r="M19" i="4"/>
  <c r="I19" i="4"/>
  <c r="M26" i="4"/>
  <c r="I26" i="4"/>
  <c r="M27" i="2"/>
  <c r="I27" i="2"/>
  <c r="M31" i="2"/>
  <c r="I31" i="2"/>
  <c r="M20" i="3"/>
  <c r="I20" i="3"/>
  <c r="J19" i="4"/>
  <c r="M20" i="4"/>
  <c r="I20" i="4"/>
  <c r="I27" i="4"/>
  <c r="M27" i="4"/>
  <c r="M26" i="3"/>
  <c r="I26" i="3"/>
  <c r="M28" i="4"/>
  <c r="I28" i="4"/>
  <c r="M29" i="3"/>
  <c r="I29" i="3"/>
  <c r="I21" i="4"/>
  <c r="M21" i="4"/>
  <c r="M17" i="3"/>
  <c r="I17" i="3"/>
  <c r="M23" i="4"/>
  <c r="I23" i="4"/>
  <c r="I30" i="4"/>
  <c r="J30" i="4" s="1"/>
  <c r="M30" i="4"/>
  <c r="M22" i="4"/>
  <c r="I22" i="4"/>
  <c r="M23" i="3"/>
  <c r="I23" i="3"/>
  <c r="J23" i="3" s="1"/>
  <c r="M31" i="4"/>
  <c r="I31" i="4"/>
  <c r="M18" i="2"/>
  <c r="I18" i="2"/>
  <c r="M30" i="2"/>
  <c r="I30" i="2"/>
  <c r="M25" i="4"/>
  <c r="I25" i="4"/>
  <c r="J18" i="2"/>
  <c r="J25" i="4"/>
  <c r="M18" i="1"/>
  <c r="M19" i="1" s="1"/>
  <c r="I18" i="1"/>
  <c r="I20" i="2"/>
  <c r="M20" i="2"/>
  <c r="M24" i="2"/>
  <c r="I24" i="2"/>
  <c r="I21" i="3"/>
  <c r="J21" i="3" s="1"/>
  <c r="M21" i="3"/>
  <c r="J20" i="2"/>
  <c r="M32" i="3"/>
  <c r="I32" i="3"/>
  <c r="M29" i="4"/>
  <c r="I29" i="4"/>
  <c r="M21" i="2"/>
  <c r="I21" i="2"/>
  <c r="I29" i="2"/>
  <c r="M29" i="2"/>
  <c r="M17" i="4"/>
  <c r="I17" i="4"/>
  <c r="I24" i="4"/>
  <c r="M24" i="4"/>
  <c r="M32" i="4"/>
  <c r="I32" i="4"/>
  <c r="J32" i="4" s="1"/>
  <c r="M33" i="3" l="1"/>
  <c r="L24" i="4"/>
  <c r="K24" i="4"/>
  <c r="K25" i="3"/>
  <c r="L25" i="3"/>
  <c r="K27" i="4"/>
  <c r="L27" i="4" s="1"/>
  <c r="K27" i="2"/>
  <c r="L27" i="2"/>
  <c r="K29" i="2"/>
  <c r="L29" i="2" s="1"/>
  <c r="K24" i="2"/>
  <c r="L24" i="2"/>
  <c r="K29" i="3"/>
  <c r="L29" i="3" s="1"/>
  <c r="L20" i="4"/>
  <c r="K20" i="4"/>
  <c r="K22" i="3"/>
  <c r="L22" i="3"/>
  <c r="K28" i="3"/>
  <c r="L28" i="3"/>
  <c r="K21" i="2"/>
  <c r="L21" i="2"/>
  <c r="K18" i="2"/>
  <c r="L18" i="2"/>
  <c r="J29" i="3"/>
  <c r="L26" i="4"/>
  <c r="K26" i="4"/>
  <c r="J21" i="2"/>
  <c r="J22" i="3"/>
  <c r="J28" i="3"/>
  <c r="K30" i="3"/>
  <c r="L30" i="3" s="1"/>
  <c r="K31" i="4"/>
  <c r="L31" i="4" s="1"/>
  <c r="L30" i="4"/>
  <c r="K30" i="4"/>
  <c r="L28" i="4"/>
  <c r="K28" i="4"/>
  <c r="J28" i="4"/>
  <c r="J26" i="4"/>
  <c r="L19" i="4"/>
  <c r="K19" i="4"/>
  <c r="K28" i="2"/>
  <c r="L28" i="2" s="1"/>
  <c r="L19" i="2"/>
  <c r="K19" i="2"/>
  <c r="K19" i="3"/>
  <c r="L19" i="3"/>
  <c r="J24" i="2"/>
  <c r="M33" i="4"/>
  <c r="L22" i="4"/>
  <c r="K22" i="4"/>
  <c r="J22" i="4"/>
  <c r="L21" i="3"/>
  <c r="K21" i="3"/>
  <c r="J25" i="3"/>
  <c r="J29" i="2"/>
  <c r="K18" i="1"/>
  <c r="L18" i="1"/>
  <c r="K30" i="2"/>
  <c r="L30" i="2"/>
  <c r="L21" i="4"/>
  <c r="K21" i="4"/>
  <c r="M32" i="2"/>
  <c r="J27" i="2"/>
  <c r="K32" i="4"/>
  <c r="L32" i="4" s="1"/>
  <c r="L29" i="4"/>
  <c r="K29" i="4"/>
  <c r="L20" i="2"/>
  <c r="K20" i="2"/>
  <c r="J31" i="4"/>
  <c r="L23" i="4"/>
  <c r="K23" i="4"/>
  <c r="J18" i="1"/>
  <c r="H19" i="1" s="1"/>
  <c r="K26" i="3"/>
  <c r="L26" i="3" s="1"/>
  <c r="L23" i="2"/>
  <c r="K23" i="2"/>
  <c r="K32" i="3"/>
  <c r="L32" i="3" s="1"/>
  <c r="J20" i="4"/>
  <c r="K20" i="3"/>
  <c r="L20" i="3"/>
  <c r="J24" i="4"/>
  <c r="J32" i="3"/>
  <c r="J23" i="4"/>
  <c r="K17" i="3"/>
  <c r="L17" i="3"/>
  <c r="J20" i="3"/>
  <c r="K23" i="3"/>
  <c r="L23" i="3"/>
  <c r="J17" i="3"/>
  <c r="J26" i="3"/>
  <c r="L18" i="4"/>
  <c r="K18" i="4"/>
  <c r="L22" i="2"/>
  <c r="K22" i="2"/>
  <c r="K27" i="3"/>
  <c r="L27" i="3" s="1"/>
  <c r="L18" i="3"/>
  <c r="K18" i="3"/>
  <c r="J22" i="2"/>
  <c r="K31" i="2"/>
  <c r="L31" i="2" s="1"/>
  <c r="L24" i="3"/>
  <c r="K24" i="3"/>
  <c r="L17" i="4"/>
  <c r="K17" i="4"/>
  <c r="J17" i="4"/>
  <c r="L25" i="4"/>
  <c r="K25" i="4"/>
  <c r="J21" i="4"/>
  <c r="J27" i="4"/>
  <c r="J31" i="2"/>
  <c r="L26" i="2"/>
  <c r="K26" i="2"/>
  <c r="J30" i="2"/>
  <c r="K31" i="3"/>
  <c r="L31" i="3"/>
  <c r="L25" i="2"/>
  <c r="K25" i="2"/>
  <c r="H32" i="2" l="1"/>
  <c r="H33" i="2"/>
  <c r="H34" i="2"/>
  <c r="H33" i="3"/>
  <c r="H33" i="4"/>
  <c r="H20" i="1"/>
  <c r="H21" i="1" s="1"/>
  <c r="H34" i="4" l="1"/>
  <c r="H35" i="4" s="1"/>
  <c r="H36" i="4" s="1"/>
  <c r="H34" i="3"/>
  <c r="H35" i="3" s="1"/>
  <c r="H36" i="3" s="1"/>
</calcChain>
</file>

<file path=xl/sharedStrings.xml><?xml version="1.0" encoding="utf-8"?>
<sst xmlns="http://schemas.openxmlformats.org/spreadsheetml/2006/main" count="188" uniqueCount="68">
  <si>
    <t>Equimolar pooling for Illumina Sequencing</t>
  </si>
  <si>
    <t>Complete the tables below to calculate the pool volumes:</t>
  </si>
  <si>
    <t>Insert extra rows to the table as needed</t>
  </si>
  <si>
    <t>Adjust the sample number to the number of libraries in the pool (yellow table)</t>
  </si>
  <si>
    <t>Adjust the Total Concentration of POOL (nM) and Total Volume of POOL (μl)  (yellow table) dependening on your individual library concentrations so that all volumes (green column) are within range</t>
  </si>
  <si>
    <t xml:space="preserve">Adjust the dilution factor column (red) to enable accurate pipetting (at least 1 μl for green column) </t>
  </si>
  <si>
    <t>If the Sum of the Volume exceeds the total Volume of POOL then concentration with Ampure XP may be required</t>
  </si>
  <si>
    <t>Pool Name</t>
  </si>
  <si>
    <t>ATAC-seq_1 add-on pool</t>
  </si>
  <si>
    <t>Number of samples</t>
  </si>
  <si>
    <t>Adjust as needed</t>
  </si>
  <si>
    <t>final conc each library in pool</t>
  </si>
  <si>
    <t>auto calculated</t>
  </si>
  <si>
    <t>Total Concentration of POOL (nM)</t>
  </si>
  <si>
    <t>Total concentration of pool is more like 25 nM with ~77 μL volume</t>
  </si>
  <si>
    <t>Total Volume of POOL (μl)</t>
  </si>
  <si>
    <t>proportion_reads_within_pool</t>
  </si>
  <si>
    <t>sample name</t>
  </si>
  <si>
    <t>Conc undiluted (ng/μl)</t>
  </si>
  <si>
    <t>Size (bp)</t>
  </si>
  <si>
    <t>Molarity (nM)</t>
  </si>
  <si>
    <t>Molarity correction factor</t>
  </si>
  <si>
    <t>Molarity corrected based on previous sequencing (nM)</t>
  </si>
  <si>
    <t xml:space="preserve"> Undiluted volume for pool (μl)</t>
  </si>
  <si>
    <t>Dilution factor</t>
  </si>
  <si>
    <t xml:space="preserve"> Volume for pool (μl)</t>
  </si>
  <si>
    <t>Volume aliquot undiluted (uL)</t>
  </si>
  <si>
    <t>Volume of water added to dilute (uL)</t>
  </si>
  <si>
    <t>Mass of DNA  (ng)</t>
  </si>
  <si>
    <t>31_ZI_4_3</t>
  </si>
  <si>
    <t>sum</t>
  </si>
  <si>
    <t>ng/μl</t>
  </si>
  <si>
    <t>add Tris</t>
  </si>
  <si>
    <t>if &lt;0 pool concentration required</t>
  </si>
  <si>
    <t>TOTAL</t>
  </si>
  <si>
    <t>ATAC-seq_2 add-on pool</t>
  </si>
  <si>
    <t>22_FR_5_2</t>
  </si>
  <si>
    <t>10_FR_5_1</t>
  </si>
  <si>
    <t>17_ZI_3_2</t>
  </si>
  <si>
    <t>9_ZI_5_1</t>
  </si>
  <si>
    <t>11_ZI_6_1</t>
  </si>
  <si>
    <t>6_FR_3_1</t>
  </si>
  <si>
    <t>21_ZI_5_2</t>
  </si>
  <si>
    <t>28_FR_2_3</t>
  </si>
  <si>
    <t>14_FR_1_2</t>
  </si>
  <si>
    <t>15_ZI_2_2</t>
  </si>
  <si>
    <t>7_ZI_4_1</t>
  </si>
  <si>
    <t>1_ZI_1_1</t>
  </si>
  <si>
    <t>16_FR_2_2</t>
  </si>
  <si>
    <t>2_FR_1_1</t>
  </si>
  <si>
    <t>Adjust the Total Concentration of POOL (nM) and Total Volume of POOL (μl)  (yellow table) depending on your individual library concentrations so that all volumes (green column) are within range</t>
  </si>
  <si>
    <t>RNA-seq add-on pool</t>
  </si>
  <si>
    <t>32_FR_4_3</t>
  </si>
  <si>
    <t>13_ZI_1_2</t>
  </si>
  <si>
    <t>34_FR_5_3</t>
  </si>
  <si>
    <t>24_FR_6_2</t>
  </si>
  <si>
    <t>19_ZI_4_2</t>
  </si>
  <si>
    <t>33_ZI_5_3</t>
  </si>
  <si>
    <t>12_FR_6_1</t>
  </si>
  <si>
    <t>25_ZI_1_3</t>
  </si>
  <si>
    <t>35_ZI_6_3</t>
  </si>
  <si>
    <t>36_FR_6_3</t>
  </si>
  <si>
    <t>add H20</t>
  </si>
  <si>
    <t>Concentration(ng)</t>
  </si>
  <si>
    <t>sRNA-seq add-on pool</t>
  </si>
  <si>
    <t>26_FR_1_3</t>
  </si>
  <si>
    <t>18_FR_3_2</t>
  </si>
  <si>
    <t>add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</si>
</sst>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61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5E0B4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E699"/>
      </patternFill>
    </fill>
    <fill>
      <patternFill patternType="solid">
        <fgColor rgb="FFC5E0B4"/>
        <bgColor rgb="FFC6EFCE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4" fillId="0" borderId="3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opLeftCell="A4" workbookViewId="0">
      <selection activeCell="C18" sqref="C18"/>
    </sheetView>
  </sheetViews>
  <sheetFormatPr defaultRowHeight="14.25" x14ac:dyDescent="0.45"/>
  <cols>
    <col min="1" max="1" width="10.86328125" customWidth="1"/>
    <col min="2" max="2" width="33.59765625" customWidth="1"/>
    <col min="3" max="3" width="10.86328125" customWidth="1"/>
    <col min="9" max="9" width="12.3984375" customWidth="1"/>
    <col min="10" max="10" width="20.46484375" customWidth="1"/>
    <col min="11" max="11" width="10.86328125" customWidth="1"/>
  </cols>
  <sheetData>
    <row r="1" spans="1:13" ht="50.1" customHeight="1" x14ac:dyDescent="0.45"/>
    <row r="2" spans="1:13" ht="21" customHeight="1" x14ac:dyDescent="0.65">
      <c r="A2" s="1" t="s">
        <v>0</v>
      </c>
    </row>
    <row r="4" spans="1:13" ht="15.75" x14ac:dyDescent="0.5">
      <c r="A4" s="2" t="s">
        <v>1</v>
      </c>
      <c r="B4" s="3"/>
      <c r="C4" s="3"/>
      <c r="D4" s="3"/>
      <c r="E4" s="3"/>
      <c r="H4" s="3"/>
      <c r="I4" s="3"/>
      <c r="J4" s="3"/>
      <c r="K4" s="3"/>
      <c r="L4" s="3"/>
      <c r="M4" s="3"/>
    </row>
    <row r="5" spans="1:13" ht="15.75" x14ac:dyDescent="0.5">
      <c r="A5" s="2"/>
      <c r="B5" s="3" t="s">
        <v>2</v>
      </c>
      <c r="C5" s="3"/>
      <c r="D5" s="3"/>
      <c r="E5" s="3"/>
      <c r="H5" s="3"/>
      <c r="I5" s="3"/>
      <c r="J5" s="3"/>
      <c r="K5" s="3"/>
      <c r="L5" s="3"/>
      <c r="M5" s="3"/>
    </row>
    <row r="6" spans="1:13" ht="15.75" x14ac:dyDescent="0.5">
      <c r="A6" s="2"/>
      <c r="B6" s="3" t="s">
        <v>3</v>
      </c>
      <c r="C6" s="3"/>
      <c r="D6" s="3"/>
      <c r="E6" s="3"/>
      <c r="H6" s="3"/>
      <c r="I6" s="3"/>
      <c r="J6" s="3"/>
      <c r="K6" s="3"/>
      <c r="L6" s="3"/>
      <c r="M6" s="3"/>
    </row>
    <row r="7" spans="1:13" ht="15.75" x14ac:dyDescent="0.5">
      <c r="A7" s="2"/>
      <c r="B7" s="3" t="s">
        <v>4</v>
      </c>
      <c r="C7" s="3"/>
      <c r="D7" s="3"/>
      <c r="E7" s="3"/>
      <c r="H7" s="3"/>
      <c r="I7" s="3"/>
      <c r="J7" s="3"/>
      <c r="K7" s="3"/>
      <c r="L7" s="3"/>
      <c r="M7" s="3"/>
    </row>
    <row r="8" spans="1:13" ht="15.75" x14ac:dyDescent="0.5">
      <c r="A8" s="2"/>
      <c r="B8" s="3" t="s">
        <v>5</v>
      </c>
      <c r="C8" s="3"/>
      <c r="D8" s="3"/>
      <c r="E8" s="3"/>
      <c r="H8" s="3"/>
      <c r="I8" s="3"/>
      <c r="J8" s="3"/>
      <c r="K8" s="3"/>
      <c r="L8" s="3"/>
      <c r="M8" s="3"/>
    </row>
    <row r="9" spans="1:13" ht="15.75" x14ac:dyDescent="0.5">
      <c r="A9" s="2"/>
      <c r="B9" s="3" t="s">
        <v>6</v>
      </c>
      <c r="C9" s="3"/>
      <c r="D9" s="3"/>
      <c r="E9" s="3"/>
      <c r="H9" s="3"/>
      <c r="I9" s="3"/>
      <c r="J9" s="3"/>
      <c r="K9" s="3"/>
      <c r="L9" s="3"/>
      <c r="M9" s="3"/>
    </row>
    <row r="10" spans="1:13" ht="17.100000000000001" customHeight="1" x14ac:dyDescent="0.5">
      <c r="A10" s="2"/>
      <c r="B10" s="2"/>
      <c r="C10" s="3"/>
      <c r="D10" s="3"/>
      <c r="E10" s="3"/>
      <c r="H10" s="3"/>
      <c r="I10" s="3"/>
      <c r="J10" s="3"/>
      <c r="K10" s="3"/>
      <c r="L10" s="3"/>
      <c r="M10" s="3"/>
    </row>
    <row r="11" spans="1:13" ht="17.100000000000001" customHeight="1" x14ac:dyDescent="0.5">
      <c r="A11" s="2"/>
      <c r="B11" s="4" t="s">
        <v>7</v>
      </c>
      <c r="C11" s="5" t="s">
        <v>8</v>
      </c>
      <c r="D11" s="3"/>
      <c r="E11" s="3"/>
      <c r="H11" s="3"/>
      <c r="I11" s="3"/>
      <c r="J11" s="3"/>
      <c r="K11" s="3"/>
      <c r="L11" s="3"/>
      <c r="M11" s="3"/>
    </row>
    <row r="12" spans="1:13" ht="17.100000000000001" customHeight="1" x14ac:dyDescent="0.5">
      <c r="A12" s="2"/>
      <c r="B12" s="6" t="s">
        <v>9</v>
      </c>
      <c r="C12" s="7">
        <v>1</v>
      </c>
      <c r="D12" s="3" t="s">
        <v>10</v>
      </c>
      <c r="E12" s="3"/>
      <c r="H12" s="3"/>
      <c r="I12" s="3"/>
      <c r="J12" s="3"/>
      <c r="K12" s="3"/>
      <c r="L12" s="3"/>
      <c r="M12" s="3"/>
    </row>
    <row r="13" spans="1:13" ht="15.75" x14ac:dyDescent="0.5">
      <c r="A13" s="2"/>
      <c r="B13" s="8" t="s">
        <v>11</v>
      </c>
      <c r="C13" s="9">
        <f>IF($C$12&gt;0,$C$14/$C$12,"n/a")</f>
        <v>8</v>
      </c>
      <c r="D13" s="3" t="s">
        <v>12</v>
      </c>
      <c r="E13" s="3"/>
      <c r="H13" s="3"/>
      <c r="I13" s="3"/>
      <c r="J13" s="3"/>
      <c r="K13" s="3"/>
      <c r="L13" s="3"/>
      <c r="M13" s="3"/>
    </row>
    <row r="14" spans="1:13" ht="15.75" x14ac:dyDescent="0.5">
      <c r="A14" s="2"/>
      <c r="B14" s="10" t="s">
        <v>13</v>
      </c>
      <c r="C14" s="11">
        <v>8</v>
      </c>
      <c r="D14" s="3" t="s">
        <v>10</v>
      </c>
      <c r="E14" s="3"/>
      <c r="H14" s="3"/>
      <c r="I14" s="3"/>
      <c r="J14" s="3"/>
      <c r="K14" s="3"/>
      <c r="L14" s="3"/>
      <c r="M14" s="3"/>
    </row>
    <row r="15" spans="1:13" ht="17.100000000000001" customHeight="1" x14ac:dyDescent="0.5">
      <c r="A15" s="2"/>
      <c r="B15" s="12" t="s">
        <v>15</v>
      </c>
      <c r="C15" s="13">
        <v>20</v>
      </c>
      <c r="D15" s="3" t="s">
        <v>10</v>
      </c>
      <c r="E15" s="3"/>
      <c r="H15" s="3"/>
      <c r="I15" s="3"/>
      <c r="J15" s="3"/>
      <c r="K15" s="3"/>
      <c r="L15" s="3"/>
      <c r="M15" s="3"/>
    </row>
    <row r="16" spans="1:13" ht="17.100000000000001" customHeight="1" x14ac:dyDescent="0.45">
      <c r="A16" s="3"/>
      <c r="B16" s="3"/>
      <c r="C16" s="3"/>
      <c r="D16" s="3"/>
      <c r="E16" s="3"/>
      <c r="H16" s="3"/>
      <c r="I16" s="3"/>
      <c r="J16" s="3"/>
      <c r="K16" s="3"/>
      <c r="L16" s="3"/>
      <c r="M16" s="3"/>
    </row>
    <row r="17" spans="1:15" ht="51" customHeight="1" x14ac:dyDescent="0.5">
      <c r="A17" s="2" t="s">
        <v>16</v>
      </c>
      <c r="B17" s="14" t="s">
        <v>17</v>
      </c>
      <c r="C17" s="15" t="s">
        <v>18</v>
      </c>
      <c r="D17" s="15" t="s">
        <v>19</v>
      </c>
      <c r="E17" s="15" t="s">
        <v>20</v>
      </c>
      <c r="F17" t="s">
        <v>21</v>
      </c>
      <c r="G17" t="s">
        <v>22</v>
      </c>
      <c r="H17" s="15" t="s">
        <v>23</v>
      </c>
      <c r="I17" s="16" t="s">
        <v>24</v>
      </c>
      <c r="J17" s="17" t="s">
        <v>25</v>
      </c>
      <c r="K17" s="18" t="s">
        <v>26</v>
      </c>
      <c r="L17" s="18" t="s">
        <v>27</v>
      </c>
      <c r="M17" s="19" t="s">
        <v>28</v>
      </c>
    </row>
    <row r="18" spans="1:15" x14ac:dyDescent="0.45">
      <c r="A18">
        <v>1</v>
      </c>
      <c r="B18" t="s">
        <v>29</v>
      </c>
      <c r="C18">
        <v>4.0599999999999996</v>
      </c>
      <c r="D18">
        <v>663</v>
      </c>
      <c r="E18">
        <f>C18*1000000/(660*D18)</f>
        <v>9.2783033959504539</v>
      </c>
      <c r="F18">
        <v>0.86660271124970056</v>
      </c>
      <c r="G18">
        <f>E18*F18</f>
        <v>8.0406028787279666</v>
      </c>
      <c r="H18">
        <f>$C$15*($C$14*A18)/G18</f>
        <v>19.899005387182136</v>
      </c>
      <c r="I18">
        <f>IF(H18&gt;=1,1,MAX(2,ROUNDUP(1/H18,0)))</f>
        <v>1</v>
      </c>
      <c r="J18">
        <f>H18*I18</f>
        <v>19.899005387182136</v>
      </c>
      <c r="K18" t="str">
        <f>IF(I18&gt;1,1.5,"")</f>
        <v/>
      </c>
      <c r="L18" t="str">
        <f>IF(I18&gt;1,K18*(I18-1),"")</f>
        <v/>
      </c>
      <c r="M18">
        <f>C18*H18</f>
        <v>80.789961871959463</v>
      </c>
    </row>
    <row r="19" spans="1:15" ht="15.75" x14ac:dyDescent="0.5">
      <c r="G19" t="s">
        <v>30</v>
      </c>
      <c r="H19">
        <f>SUM(J18:J18)</f>
        <v>19.899005387182136</v>
      </c>
      <c r="I19" s="20"/>
      <c r="J19" s="21"/>
      <c r="K19" s="22"/>
      <c r="L19" s="22"/>
      <c r="M19" s="23">
        <f>SUM(M18:M18)</f>
        <v>80.789961871959463</v>
      </c>
      <c r="N19" t="e">
        <f>K54/I54</f>
        <v>#DIV/0!</v>
      </c>
      <c r="O19" t="s">
        <v>31</v>
      </c>
    </row>
    <row r="20" spans="1:15" ht="15.75" x14ac:dyDescent="0.45">
      <c r="G20" t="s">
        <v>32</v>
      </c>
      <c r="H20">
        <f>$C$15-H19</f>
        <v>0.10099461281786404</v>
      </c>
      <c r="I20" s="24"/>
      <c r="J20" s="25" t="s">
        <v>33</v>
      </c>
      <c r="K20" s="22"/>
      <c r="L20" s="22"/>
    </row>
    <row r="21" spans="1:15" ht="15.75" x14ac:dyDescent="0.45">
      <c r="G21" t="s">
        <v>34</v>
      </c>
      <c r="H21">
        <f>SUM(H19:H20)</f>
        <v>20</v>
      </c>
      <c r="I21" s="26"/>
      <c r="J21" s="27"/>
      <c r="K21" s="28"/>
      <c r="L21" s="28"/>
    </row>
    <row r="29" spans="1:15" ht="17.100000000000001" customHeight="1" x14ac:dyDescent="0.45"/>
    <row r="32" spans="1:15" ht="17.100000000000001" customHeight="1" x14ac:dyDescent="0.45"/>
    <row r="41" ht="17.100000000000001" customHeight="1" x14ac:dyDescent="0.45"/>
    <row r="56" ht="17.100000000000001" customHeight="1" x14ac:dyDescent="0.4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topLeftCell="A11" workbookViewId="0">
      <selection activeCell="J18" sqref="J18:J31"/>
    </sheetView>
  </sheetViews>
  <sheetFormatPr defaultRowHeight="14.25" x14ac:dyDescent="0.45"/>
  <cols>
    <col min="1" max="1" width="10.86328125" customWidth="1"/>
    <col min="2" max="2" width="33.59765625" customWidth="1"/>
    <col min="3" max="3" width="10.86328125" customWidth="1"/>
    <col min="9" max="9" width="12.3984375" customWidth="1"/>
    <col min="10" max="10" width="20.46484375" customWidth="1"/>
    <col min="11" max="11" width="10.86328125" customWidth="1"/>
  </cols>
  <sheetData>
    <row r="1" spans="1:13" ht="50.1" customHeight="1" x14ac:dyDescent="0.45"/>
    <row r="2" spans="1:13" ht="21" customHeight="1" x14ac:dyDescent="0.65">
      <c r="A2" s="1" t="s">
        <v>0</v>
      </c>
    </row>
    <row r="4" spans="1:13" ht="15.75" x14ac:dyDescent="0.5">
      <c r="A4" s="2" t="s">
        <v>1</v>
      </c>
      <c r="B4" s="3"/>
      <c r="C4" s="3"/>
      <c r="D4" s="3"/>
      <c r="E4" s="3"/>
      <c r="H4" s="3"/>
      <c r="I4" s="3"/>
      <c r="J4" s="3"/>
      <c r="K4" s="3"/>
      <c r="L4" s="3"/>
      <c r="M4" s="3"/>
    </row>
    <row r="5" spans="1:13" ht="15.75" x14ac:dyDescent="0.5">
      <c r="A5" s="2"/>
      <c r="B5" s="3" t="s">
        <v>2</v>
      </c>
      <c r="C5" s="3"/>
      <c r="D5" s="3"/>
      <c r="E5" s="3"/>
      <c r="H5" s="3"/>
      <c r="I5" s="3"/>
      <c r="J5" s="3"/>
      <c r="K5" s="3"/>
      <c r="L5" s="3"/>
      <c r="M5" s="3"/>
    </row>
    <row r="6" spans="1:13" ht="15.75" x14ac:dyDescent="0.5">
      <c r="A6" s="2"/>
      <c r="B6" s="3" t="s">
        <v>3</v>
      </c>
      <c r="C6" s="3"/>
      <c r="D6" s="3"/>
      <c r="E6" s="3"/>
      <c r="H6" s="3"/>
      <c r="I6" s="3"/>
      <c r="J6" s="3"/>
      <c r="K6" s="3"/>
      <c r="L6" s="3"/>
      <c r="M6" s="3"/>
    </row>
    <row r="7" spans="1:13" ht="15.75" x14ac:dyDescent="0.5">
      <c r="A7" s="2"/>
      <c r="B7" s="3" t="s">
        <v>4</v>
      </c>
      <c r="C7" s="3"/>
      <c r="D7" s="3"/>
      <c r="E7" s="3"/>
      <c r="H7" s="3"/>
      <c r="I7" s="3"/>
      <c r="J7" s="3"/>
      <c r="K7" s="3"/>
      <c r="L7" s="3"/>
      <c r="M7" s="3"/>
    </row>
    <row r="8" spans="1:13" ht="15.75" x14ac:dyDescent="0.5">
      <c r="A8" s="2"/>
      <c r="B8" s="3" t="s">
        <v>5</v>
      </c>
      <c r="C8" s="3"/>
      <c r="D8" s="3"/>
      <c r="E8" s="3"/>
      <c r="H8" s="3"/>
      <c r="I8" s="3"/>
      <c r="J8" s="3"/>
      <c r="K8" s="3"/>
      <c r="L8" s="3"/>
      <c r="M8" s="3"/>
    </row>
    <row r="9" spans="1:13" ht="15.75" x14ac:dyDescent="0.5">
      <c r="A9" s="2"/>
      <c r="B9" s="3" t="s">
        <v>6</v>
      </c>
      <c r="C9" s="3"/>
      <c r="D9" s="3"/>
      <c r="E9" s="3"/>
      <c r="H9" s="3"/>
      <c r="I9" s="3"/>
      <c r="J9" s="3"/>
      <c r="K9" s="3"/>
      <c r="L9" s="3"/>
      <c r="M9" s="3"/>
    </row>
    <row r="10" spans="1:13" ht="17.100000000000001" customHeight="1" x14ac:dyDescent="0.5">
      <c r="A10" s="2"/>
      <c r="B10" s="2"/>
      <c r="C10" s="3"/>
      <c r="D10" s="3"/>
      <c r="E10" s="3"/>
      <c r="H10" s="3"/>
      <c r="I10" s="3"/>
      <c r="J10" s="3"/>
      <c r="K10" s="3"/>
      <c r="L10" s="3"/>
      <c r="M10" s="3"/>
    </row>
    <row r="11" spans="1:13" ht="17.100000000000001" customHeight="1" x14ac:dyDescent="0.5">
      <c r="A11" s="2"/>
      <c r="B11" s="4" t="s">
        <v>7</v>
      </c>
      <c r="C11" s="5" t="s">
        <v>35</v>
      </c>
      <c r="D11" s="3"/>
      <c r="E11" s="3"/>
      <c r="H11" s="3"/>
      <c r="I11" s="3"/>
      <c r="J11" s="3"/>
      <c r="K11" s="3"/>
      <c r="L11" s="3"/>
      <c r="M11" s="3"/>
    </row>
    <row r="12" spans="1:13" ht="17.100000000000001" customHeight="1" x14ac:dyDescent="0.5">
      <c r="A12" s="2"/>
      <c r="B12" s="6" t="s">
        <v>9</v>
      </c>
      <c r="C12" s="7">
        <v>14</v>
      </c>
      <c r="D12" s="3" t="s">
        <v>10</v>
      </c>
      <c r="E12" s="3"/>
      <c r="H12" s="3"/>
      <c r="I12" s="3"/>
      <c r="J12" s="3"/>
      <c r="K12" s="3"/>
      <c r="L12" s="3"/>
      <c r="M12" s="3"/>
    </row>
    <row r="13" spans="1:13" ht="15.75" x14ac:dyDescent="0.5">
      <c r="A13" s="2"/>
      <c r="B13" s="8" t="s">
        <v>11</v>
      </c>
      <c r="C13" s="9">
        <f>IF($C$12&gt;0,$C$14/$C$12,"n/a")</f>
        <v>2</v>
      </c>
      <c r="D13" s="3" t="s">
        <v>12</v>
      </c>
      <c r="E13" s="3"/>
      <c r="H13" s="3"/>
      <c r="I13" s="3"/>
      <c r="J13" s="3"/>
      <c r="K13" s="3"/>
      <c r="L13" s="3"/>
      <c r="M13" s="3"/>
    </row>
    <row r="14" spans="1:13" ht="15.75" x14ac:dyDescent="0.5">
      <c r="A14" s="2"/>
      <c r="B14" s="10" t="s">
        <v>13</v>
      </c>
      <c r="C14" s="11">
        <v>28</v>
      </c>
      <c r="D14" s="3" t="s">
        <v>10</v>
      </c>
      <c r="E14" s="3"/>
      <c r="H14" s="3" t="s">
        <v>14</v>
      </c>
      <c r="I14" s="3"/>
      <c r="J14" s="3"/>
      <c r="K14" s="3"/>
      <c r="L14" s="3"/>
      <c r="M14" s="3"/>
    </row>
    <row r="15" spans="1:13" ht="17.100000000000001" customHeight="1" x14ac:dyDescent="0.5">
      <c r="A15" s="2"/>
      <c r="B15" s="12" t="s">
        <v>15</v>
      </c>
      <c r="C15" s="13">
        <v>30</v>
      </c>
      <c r="D15" s="3" t="s">
        <v>10</v>
      </c>
      <c r="E15" s="3"/>
      <c r="H15" s="3"/>
      <c r="I15" s="3"/>
      <c r="J15" s="3"/>
      <c r="K15" s="3"/>
      <c r="L15" s="3"/>
      <c r="M15" s="3"/>
    </row>
    <row r="16" spans="1:13" ht="17.100000000000001" customHeight="1" x14ac:dyDescent="0.45">
      <c r="A16" s="3"/>
      <c r="B16" s="3"/>
      <c r="C16" s="3"/>
      <c r="D16" s="3"/>
      <c r="E16" s="3"/>
      <c r="H16" s="3"/>
      <c r="I16" s="3"/>
      <c r="J16" s="3"/>
      <c r="K16" s="3"/>
      <c r="L16" s="3"/>
      <c r="M16" s="3"/>
    </row>
    <row r="17" spans="1:15" ht="51" customHeight="1" x14ac:dyDescent="0.5">
      <c r="A17" s="2" t="s">
        <v>16</v>
      </c>
      <c r="B17" s="14" t="s">
        <v>17</v>
      </c>
      <c r="C17" s="15" t="s">
        <v>18</v>
      </c>
      <c r="D17" s="15" t="s">
        <v>19</v>
      </c>
      <c r="E17" s="15" t="s">
        <v>20</v>
      </c>
      <c r="F17" t="s">
        <v>21</v>
      </c>
      <c r="G17" t="s">
        <v>22</v>
      </c>
      <c r="H17" s="15" t="s">
        <v>23</v>
      </c>
      <c r="I17" s="16" t="s">
        <v>24</v>
      </c>
      <c r="J17" s="17" t="s">
        <v>25</v>
      </c>
      <c r="K17" s="18" t="s">
        <v>26</v>
      </c>
      <c r="L17" s="18" t="s">
        <v>27</v>
      </c>
      <c r="M17" s="19" t="s">
        <v>28</v>
      </c>
    </row>
    <row r="18" spans="1:15" x14ac:dyDescent="0.45">
      <c r="A18">
        <v>0.1144792143107838</v>
      </c>
      <c r="B18" t="s">
        <v>36</v>
      </c>
      <c r="C18">
        <v>8.24</v>
      </c>
      <c r="D18">
        <v>436.26</v>
      </c>
      <c r="E18">
        <f t="shared" ref="E18:E31" si="0">C18*1000000/(660*D18)</f>
        <v>28.617907864228869</v>
      </c>
      <c r="F18">
        <v>0.39344699150751611</v>
      </c>
      <c r="G18">
        <f t="shared" ref="G18:G31" si="1">E18*F18</f>
        <v>11.259629752420134</v>
      </c>
      <c r="H18">
        <f t="shared" ref="H18:H31" si="2">$C$15*($C$14*A18)/G18</f>
        <v>8.5404708800828288</v>
      </c>
      <c r="I18">
        <f t="shared" ref="I18:I31" si="3">IF(H18&gt;=1,1,MAX(2,ROUNDUP(1/H18,0)))</f>
        <v>1</v>
      </c>
      <c r="J18">
        <f t="shared" ref="J18:J31" si="4">H18*I18</f>
        <v>8.5404708800828288</v>
      </c>
      <c r="K18" t="str">
        <f t="shared" ref="K18:K31" si="5">IF(I18&gt;1,1.5,"")</f>
        <v/>
      </c>
      <c r="L18" t="str">
        <f t="shared" ref="L18:L31" si="6">IF(I18&gt;1,K18*(I18-1),"")</f>
        <v/>
      </c>
      <c r="M18">
        <f t="shared" ref="M18:M31" si="7">C18*H18</f>
        <v>70.37348005188251</v>
      </c>
    </row>
    <row r="19" spans="1:15" x14ac:dyDescent="0.45">
      <c r="A19">
        <v>0.32184301847840457</v>
      </c>
      <c r="B19" t="s">
        <v>37</v>
      </c>
      <c r="C19">
        <v>11.6</v>
      </c>
      <c r="D19">
        <v>371.09</v>
      </c>
      <c r="E19">
        <f t="shared" si="0"/>
        <v>47.362520078033839</v>
      </c>
      <c r="F19">
        <v>2.0008350698062021</v>
      </c>
      <c r="G19">
        <f t="shared" si="1"/>
        <v>94.764591166530479</v>
      </c>
      <c r="H19">
        <f t="shared" si="2"/>
        <v>2.8528391479764332</v>
      </c>
      <c r="I19">
        <f t="shared" si="3"/>
        <v>1</v>
      </c>
      <c r="J19">
        <f t="shared" si="4"/>
        <v>2.8528391479764332</v>
      </c>
      <c r="K19" t="str">
        <f t="shared" si="5"/>
        <v/>
      </c>
      <c r="L19" t="str">
        <f t="shared" si="6"/>
        <v/>
      </c>
      <c r="M19">
        <f t="shared" si="7"/>
        <v>33.092934116526628</v>
      </c>
    </row>
    <row r="20" spans="1:15" x14ac:dyDescent="0.45">
      <c r="A20">
        <v>0.1077580109472864</v>
      </c>
      <c r="B20" t="s">
        <v>38</v>
      </c>
      <c r="C20">
        <v>15.4</v>
      </c>
      <c r="D20">
        <v>321.44</v>
      </c>
      <c r="E20">
        <f t="shared" si="0"/>
        <v>72.59001161440186</v>
      </c>
      <c r="F20">
        <v>0.78036469673130804</v>
      </c>
      <c r="G20">
        <f t="shared" si="1"/>
        <v>56.646682399194837</v>
      </c>
      <c r="H20">
        <f t="shared" si="2"/>
        <v>1.597917571903684</v>
      </c>
      <c r="I20">
        <f t="shared" si="3"/>
        <v>1</v>
      </c>
      <c r="J20">
        <f t="shared" si="4"/>
        <v>1.597917571903684</v>
      </c>
      <c r="K20" t="str">
        <f t="shared" si="5"/>
        <v/>
      </c>
      <c r="L20" t="str">
        <f t="shared" si="6"/>
        <v/>
      </c>
      <c r="M20">
        <f t="shared" si="7"/>
        <v>24.607930607316735</v>
      </c>
    </row>
    <row r="21" spans="1:15" x14ac:dyDescent="0.45">
      <c r="A21">
        <v>9.6170392221740411E-2</v>
      </c>
      <c r="B21" t="s">
        <v>39</v>
      </c>
      <c r="C21">
        <v>25.7</v>
      </c>
      <c r="D21">
        <v>374.77</v>
      </c>
      <c r="E21">
        <f t="shared" si="0"/>
        <v>103.90211046613641</v>
      </c>
      <c r="F21">
        <v>0.70690286931525848</v>
      </c>
      <c r="G21">
        <f t="shared" si="1"/>
        <v>73.448700016422777</v>
      </c>
      <c r="H21">
        <f t="shared" si="2"/>
        <v>1.0998578524630012</v>
      </c>
      <c r="I21">
        <f t="shared" si="3"/>
        <v>1</v>
      </c>
      <c r="J21">
        <f t="shared" si="4"/>
        <v>1.0998578524630012</v>
      </c>
      <c r="K21" t="str">
        <f t="shared" si="5"/>
        <v/>
      </c>
      <c r="L21" t="str">
        <f t="shared" si="6"/>
        <v/>
      </c>
      <c r="M21">
        <f t="shared" si="7"/>
        <v>28.266346808299129</v>
      </c>
    </row>
    <row r="22" spans="1:15" x14ac:dyDescent="0.45">
      <c r="A22">
        <v>6.2509115246002889E-2</v>
      </c>
      <c r="B22" t="s">
        <v>40</v>
      </c>
      <c r="C22">
        <v>10</v>
      </c>
      <c r="D22">
        <v>340</v>
      </c>
      <c r="E22">
        <f t="shared" si="0"/>
        <v>44.563279857397504</v>
      </c>
      <c r="F22">
        <v>0.80155558122015558</v>
      </c>
      <c r="G22">
        <f t="shared" si="1"/>
        <v>35.719945687172711</v>
      </c>
      <c r="H22">
        <f t="shared" si="2"/>
        <v>1.4699814290450701</v>
      </c>
      <c r="I22">
        <f t="shared" si="3"/>
        <v>1</v>
      </c>
      <c r="J22">
        <f t="shared" si="4"/>
        <v>1.4699814290450701</v>
      </c>
      <c r="K22" t="str">
        <f t="shared" si="5"/>
        <v/>
      </c>
      <c r="L22" t="str">
        <f t="shared" si="6"/>
        <v/>
      </c>
      <c r="M22">
        <f t="shared" si="7"/>
        <v>14.699814290450702</v>
      </c>
    </row>
    <row r="23" spans="1:15" x14ac:dyDescent="0.45">
      <c r="A23">
        <v>4.8110523545336202E-2</v>
      </c>
      <c r="B23" t="s">
        <v>41</v>
      </c>
      <c r="C23">
        <v>11.8</v>
      </c>
      <c r="D23">
        <v>337.82</v>
      </c>
      <c r="E23">
        <f t="shared" si="0"/>
        <v>52.924006508755788</v>
      </c>
      <c r="F23">
        <v>0.67765025076559671</v>
      </c>
      <c r="G23">
        <f t="shared" si="1"/>
        <v>35.863966282178431</v>
      </c>
      <c r="H23">
        <f t="shared" si="2"/>
        <v>1.1268368774416457</v>
      </c>
      <c r="I23">
        <f t="shared" si="3"/>
        <v>1</v>
      </c>
      <c r="J23">
        <f t="shared" si="4"/>
        <v>1.1268368774416457</v>
      </c>
      <c r="K23" t="str">
        <f t="shared" si="5"/>
        <v/>
      </c>
      <c r="L23" t="str">
        <f t="shared" si="6"/>
        <v/>
      </c>
      <c r="M23">
        <f t="shared" si="7"/>
        <v>13.296675153811421</v>
      </c>
    </row>
    <row r="24" spans="1:15" x14ac:dyDescent="0.45">
      <c r="A24">
        <v>5.2700837136840782E-2</v>
      </c>
      <c r="B24" t="s">
        <v>42</v>
      </c>
      <c r="C24">
        <v>4.4000000000000004</v>
      </c>
      <c r="D24">
        <v>337.84</v>
      </c>
      <c r="E24">
        <f t="shared" si="0"/>
        <v>19.733207040808274</v>
      </c>
      <c r="F24">
        <v>0.75094295893701313</v>
      </c>
      <c r="G24">
        <f t="shared" si="1"/>
        <v>14.818512884541267</v>
      </c>
      <c r="H24">
        <f t="shared" si="2"/>
        <v>2.9873917538059809</v>
      </c>
      <c r="I24">
        <f t="shared" si="3"/>
        <v>1</v>
      </c>
      <c r="J24">
        <f t="shared" si="4"/>
        <v>2.9873917538059809</v>
      </c>
      <c r="K24" t="str">
        <f t="shared" si="5"/>
        <v/>
      </c>
      <c r="L24" t="str">
        <f t="shared" si="6"/>
        <v/>
      </c>
      <c r="M24">
        <f t="shared" si="7"/>
        <v>13.144523716746317</v>
      </c>
    </row>
    <row r="25" spans="1:15" x14ac:dyDescent="0.45">
      <c r="A25">
        <v>4.9007622206662917E-2</v>
      </c>
      <c r="B25" t="s">
        <v>43</v>
      </c>
      <c r="C25">
        <v>6.69</v>
      </c>
      <c r="D25">
        <v>359.14</v>
      </c>
      <c r="E25">
        <f t="shared" si="0"/>
        <v>28.223989631797174</v>
      </c>
      <c r="F25">
        <v>0.70194313899074889</v>
      </c>
      <c r="G25">
        <f t="shared" si="1"/>
        <v>19.81163587698606</v>
      </c>
      <c r="H25">
        <f t="shared" si="2"/>
        <v>2.0778901302853687</v>
      </c>
      <c r="I25">
        <f t="shared" si="3"/>
        <v>1</v>
      </c>
      <c r="J25">
        <f t="shared" si="4"/>
        <v>2.0778901302853687</v>
      </c>
      <c r="K25" t="str">
        <f t="shared" si="5"/>
        <v/>
      </c>
      <c r="L25" t="str">
        <f t="shared" si="6"/>
        <v/>
      </c>
      <c r="M25">
        <f t="shared" si="7"/>
        <v>13.901084971609118</v>
      </c>
    </row>
    <row r="26" spans="1:15" x14ac:dyDescent="0.45">
      <c r="A26">
        <v>5.3010398714986182E-2</v>
      </c>
      <c r="B26" t="s">
        <v>44</v>
      </c>
      <c r="C26">
        <v>4.1900000000000004</v>
      </c>
      <c r="D26">
        <v>290.37</v>
      </c>
      <c r="E26">
        <f t="shared" si="0"/>
        <v>21.863432339721214</v>
      </c>
      <c r="F26">
        <v>1.0923113300521481</v>
      </c>
      <c r="G26">
        <f t="shared" si="1"/>
        <v>23.881674858506027</v>
      </c>
      <c r="H26">
        <f t="shared" si="2"/>
        <v>1.8645566185961375</v>
      </c>
      <c r="I26">
        <f t="shared" si="3"/>
        <v>1</v>
      </c>
      <c r="J26">
        <f t="shared" si="4"/>
        <v>1.8645566185961375</v>
      </c>
      <c r="K26" t="str">
        <f t="shared" si="5"/>
        <v/>
      </c>
      <c r="L26" t="str">
        <f t="shared" si="6"/>
        <v/>
      </c>
      <c r="M26">
        <f t="shared" si="7"/>
        <v>7.8124922319178172</v>
      </c>
    </row>
    <row r="27" spans="1:15" x14ac:dyDescent="0.45">
      <c r="A27">
        <v>2.5033277986851728E-2</v>
      </c>
      <c r="B27" t="s">
        <v>45</v>
      </c>
      <c r="C27">
        <v>12.8</v>
      </c>
      <c r="D27">
        <v>304.87</v>
      </c>
      <c r="E27">
        <f t="shared" si="0"/>
        <v>63.613800616457482</v>
      </c>
      <c r="F27">
        <v>0.64136572565535088</v>
      </c>
      <c r="G27">
        <f t="shared" si="1"/>
        <v>40.799711394069057</v>
      </c>
      <c r="H27">
        <f t="shared" si="2"/>
        <v>0.51539466311058835</v>
      </c>
      <c r="I27">
        <f t="shared" si="3"/>
        <v>2</v>
      </c>
      <c r="J27">
        <f t="shared" si="4"/>
        <v>1.0307893262211767</v>
      </c>
      <c r="K27">
        <f t="shared" si="5"/>
        <v>1.5</v>
      </c>
      <c r="L27">
        <f t="shared" si="6"/>
        <v>1.5</v>
      </c>
      <c r="M27">
        <f t="shared" si="7"/>
        <v>6.5970516878155312</v>
      </c>
    </row>
    <row r="28" spans="1:15" x14ac:dyDescent="0.45">
      <c r="A28">
        <v>2.36675537126152E-2</v>
      </c>
      <c r="B28" t="s">
        <v>46</v>
      </c>
      <c r="C28">
        <v>13.5</v>
      </c>
      <c r="D28">
        <v>397.03</v>
      </c>
      <c r="E28">
        <f t="shared" si="0"/>
        <v>51.518891405046105</v>
      </c>
      <c r="F28">
        <v>0.64047798200789741</v>
      </c>
      <c r="G28">
        <f t="shared" si="1"/>
        <v>32.996715602387937</v>
      </c>
      <c r="H28">
        <f t="shared" si="2"/>
        <v>0.60250678758942966</v>
      </c>
      <c r="I28">
        <f t="shared" si="3"/>
        <v>2</v>
      </c>
      <c r="J28">
        <f t="shared" si="4"/>
        <v>1.2050135751788593</v>
      </c>
      <c r="K28">
        <f t="shared" si="5"/>
        <v>1.5</v>
      </c>
      <c r="L28">
        <f t="shared" si="6"/>
        <v>1.5</v>
      </c>
      <c r="M28">
        <f t="shared" si="7"/>
        <v>8.1338416324573011</v>
      </c>
    </row>
    <row r="29" spans="1:15" ht="17.100000000000001" customHeight="1" x14ac:dyDescent="0.45">
      <c r="A29">
        <v>2.741179667791124E-2</v>
      </c>
      <c r="B29" t="s">
        <v>47</v>
      </c>
      <c r="C29">
        <v>19.600000000000001</v>
      </c>
      <c r="D29">
        <v>426.56</v>
      </c>
      <c r="E29">
        <f t="shared" si="0"/>
        <v>69.619677646684409</v>
      </c>
      <c r="F29">
        <v>0.81863590747667447</v>
      </c>
      <c r="G29">
        <f t="shared" si="1"/>
        <v>56.993167988527041</v>
      </c>
      <c r="H29">
        <f t="shared" si="2"/>
        <v>0.40401174425118203</v>
      </c>
      <c r="I29">
        <f t="shared" si="3"/>
        <v>3</v>
      </c>
      <c r="J29">
        <f t="shared" si="4"/>
        <v>1.212035232753546</v>
      </c>
      <c r="K29">
        <f t="shared" si="5"/>
        <v>1.5</v>
      </c>
      <c r="L29">
        <f t="shared" si="6"/>
        <v>3</v>
      </c>
      <c r="M29">
        <f t="shared" si="7"/>
        <v>7.9186301873231679</v>
      </c>
    </row>
    <row r="30" spans="1:15" x14ac:dyDescent="0.45">
      <c r="A30">
        <v>1.1959926855106729E-2</v>
      </c>
      <c r="B30" t="s">
        <v>48</v>
      </c>
      <c r="C30">
        <v>13.5</v>
      </c>
      <c r="D30">
        <v>323.67</v>
      </c>
      <c r="E30">
        <f t="shared" si="0"/>
        <v>63.195679100767613</v>
      </c>
      <c r="F30">
        <v>0.67351181442068864</v>
      </c>
      <c r="G30">
        <f t="shared" si="1"/>
        <v>42.563036494705585</v>
      </c>
      <c r="H30">
        <f t="shared" si="2"/>
        <v>0.23603434777355034</v>
      </c>
      <c r="I30">
        <f t="shared" si="3"/>
        <v>5</v>
      </c>
      <c r="J30">
        <f t="shared" si="4"/>
        <v>1.1801717388677517</v>
      </c>
      <c r="K30">
        <f t="shared" si="5"/>
        <v>1.5</v>
      </c>
      <c r="L30">
        <f t="shared" si="6"/>
        <v>6</v>
      </c>
      <c r="M30">
        <f t="shared" si="7"/>
        <v>3.1864636949429297</v>
      </c>
    </row>
    <row r="31" spans="1:15" x14ac:dyDescent="0.45">
      <c r="A31">
        <v>6.3383119594708597E-3</v>
      </c>
      <c r="B31" t="s">
        <v>49</v>
      </c>
      <c r="C31">
        <v>16.8</v>
      </c>
      <c r="D31">
        <v>411.66</v>
      </c>
      <c r="E31">
        <f t="shared" si="0"/>
        <v>61.833905296957319</v>
      </c>
      <c r="F31">
        <v>0.69250248606409448</v>
      </c>
      <c r="G31">
        <f t="shared" si="1"/>
        <v>42.820133141194724</v>
      </c>
      <c r="H31">
        <f t="shared" si="2"/>
        <v>0.124338287982422</v>
      </c>
      <c r="I31">
        <f t="shared" si="3"/>
        <v>9</v>
      </c>
      <c r="J31">
        <f t="shared" si="4"/>
        <v>1.1190445918417979</v>
      </c>
      <c r="K31">
        <f t="shared" si="5"/>
        <v>1.5</v>
      </c>
      <c r="L31">
        <f t="shared" si="6"/>
        <v>12</v>
      </c>
      <c r="M31">
        <f t="shared" si="7"/>
        <v>2.0888832381046898</v>
      </c>
    </row>
    <row r="32" spans="1:15" ht="17.100000000000001" customHeight="1" x14ac:dyDescent="0.5">
      <c r="G32" t="s">
        <v>30</v>
      </c>
      <c r="H32">
        <f>SUM(J18:J31)</f>
        <v>29.364796726463283</v>
      </c>
      <c r="I32" s="20"/>
      <c r="J32" s="21"/>
      <c r="K32" s="22"/>
      <c r="L32" s="22"/>
      <c r="M32" s="23">
        <f>SUM(M18:M31)</f>
        <v>247.12015238920395</v>
      </c>
      <c r="N32" t="e">
        <f>K54/I54</f>
        <v>#DIV/0!</v>
      </c>
      <c r="O32" t="s">
        <v>31</v>
      </c>
    </row>
    <row r="33" spans="7:12" ht="15.75" x14ac:dyDescent="0.45">
      <c r="G33" t="s">
        <v>67</v>
      </c>
      <c r="H33">
        <f>$C$15-H32</f>
        <v>0.63520327353671746</v>
      </c>
      <c r="I33" s="24"/>
      <c r="J33" s="25" t="s">
        <v>33</v>
      </c>
      <c r="K33" s="22"/>
      <c r="L33" s="22"/>
    </row>
    <row r="34" spans="7:12" ht="15.75" x14ac:dyDescent="0.45">
      <c r="G34" t="s">
        <v>34</v>
      </c>
      <c r="H34">
        <f>SUM(H32:H33)</f>
        <v>30</v>
      </c>
      <c r="I34" s="26"/>
      <c r="J34" s="27"/>
      <c r="K34" s="28"/>
      <c r="L34" s="28"/>
    </row>
    <row r="41" spans="7:12" ht="17.100000000000001" customHeight="1" x14ac:dyDescent="0.45"/>
    <row r="56" ht="17.100000000000001" customHeight="1" x14ac:dyDescent="0.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8576"/>
  <sheetViews>
    <sheetView topLeftCell="A9" workbookViewId="0">
      <selection activeCell="C15" sqref="C15"/>
    </sheetView>
  </sheetViews>
  <sheetFormatPr defaultRowHeight="14.25" x14ac:dyDescent="0.45"/>
  <cols>
    <col min="1" max="1" width="10.796875" customWidth="1"/>
    <col min="2" max="2" width="33.6640625" customWidth="1"/>
    <col min="3" max="3" width="10.796875" customWidth="1"/>
    <col min="7" max="7" width="13.6640625" customWidth="1"/>
    <col min="8" max="8" width="10.796875" customWidth="1"/>
  </cols>
  <sheetData>
    <row r="1" spans="1:13" ht="19.7" customHeight="1" x14ac:dyDescent="0.65">
      <c r="A1" s="1" t="s">
        <v>0</v>
      </c>
    </row>
    <row r="3" spans="1:13" ht="15" customHeight="1" x14ac:dyDescent="0.5">
      <c r="A3" s="2" t="s">
        <v>1</v>
      </c>
      <c r="B3" s="3"/>
      <c r="C3" s="3"/>
      <c r="D3" s="3"/>
      <c r="E3" s="3"/>
      <c r="H3" s="3"/>
      <c r="I3" s="3"/>
      <c r="J3" s="3"/>
      <c r="M3" s="3"/>
    </row>
    <row r="4" spans="1:13" ht="15" customHeight="1" x14ac:dyDescent="0.5">
      <c r="A4" s="2"/>
      <c r="B4" s="3" t="s">
        <v>2</v>
      </c>
      <c r="C4" s="3"/>
      <c r="D4" s="3"/>
      <c r="E4" s="3"/>
      <c r="H4" s="3"/>
      <c r="I4" s="3"/>
      <c r="J4" s="3"/>
      <c r="M4" s="3"/>
    </row>
    <row r="5" spans="1:13" ht="15" customHeight="1" x14ac:dyDescent="0.5">
      <c r="A5" s="2"/>
      <c r="B5" s="3" t="s">
        <v>3</v>
      </c>
      <c r="C5" s="3"/>
      <c r="D5" s="3"/>
      <c r="E5" s="3"/>
      <c r="H5" s="3"/>
      <c r="I5" s="3"/>
      <c r="J5" s="3"/>
      <c r="M5" s="3"/>
    </row>
    <row r="6" spans="1:13" ht="15" customHeight="1" x14ac:dyDescent="0.5">
      <c r="A6" s="2"/>
      <c r="B6" s="3" t="s">
        <v>50</v>
      </c>
      <c r="C6" s="3"/>
      <c r="D6" s="3"/>
      <c r="E6" s="3"/>
      <c r="H6" s="3"/>
      <c r="I6" s="3"/>
      <c r="J6" s="3"/>
      <c r="M6" s="3"/>
    </row>
    <row r="7" spans="1:13" ht="15" customHeight="1" x14ac:dyDescent="0.5">
      <c r="A7" s="2"/>
      <c r="B7" s="3" t="s">
        <v>5</v>
      </c>
      <c r="C7" s="3"/>
      <c r="D7" s="3"/>
      <c r="E7" s="3"/>
      <c r="H7" s="3"/>
      <c r="I7" s="3"/>
      <c r="J7" s="3"/>
      <c r="M7" s="3"/>
    </row>
    <row r="8" spans="1:13" ht="15" customHeight="1" x14ac:dyDescent="0.5">
      <c r="A8" s="2"/>
      <c r="B8" s="3" t="s">
        <v>6</v>
      </c>
      <c r="C8" s="3"/>
      <c r="D8" s="3"/>
      <c r="E8" s="3"/>
      <c r="H8" s="3"/>
      <c r="I8" s="3"/>
      <c r="J8" s="3"/>
      <c r="M8" s="3"/>
    </row>
    <row r="9" spans="1:13" ht="15" customHeight="1" x14ac:dyDescent="0.5">
      <c r="A9" s="2"/>
      <c r="B9" s="2"/>
      <c r="C9" s="3"/>
      <c r="D9" s="3"/>
      <c r="E9" s="3"/>
      <c r="H9" s="3"/>
      <c r="I9" s="3"/>
      <c r="J9" s="3"/>
      <c r="M9" s="3"/>
    </row>
    <row r="10" spans="1:13" ht="15" customHeight="1" x14ac:dyDescent="0.5">
      <c r="A10" s="2"/>
      <c r="B10" s="29" t="s">
        <v>7</v>
      </c>
      <c r="C10" s="30" t="s">
        <v>51</v>
      </c>
      <c r="D10" s="3"/>
      <c r="E10" s="3"/>
      <c r="H10" s="3"/>
      <c r="I10" s="3"/>
      <c r="J10" s="3"/>
      <c r="M10" s="3"/>
    </row>
    <row r="11" spans="1:13" ht="15" customHeight="1" x14ac:dyDescent="0.5">
      <c r="A11" s="2"/>
      <c r="B11" s="31" t="s">
        <v>9</v>
      </c>
      <c r="C11" s="32">
        <v>16</v>
      </c>
      <c r="D11" s="3" t="s">
        <v>10</v>
      </c>
      <c r="E11" s="3"/>
      <c r="I11" s="33"/>
      <c r="J11" s="3"/>
      <c r="M11" s="3"/>
    </row>
    <row r="12" spans="1:13" ht="15" customHeight="1" x14ac:dyDescent="0.5">
      <c r="A12" s="2"/>
      <c r="B12" s="34" t="s">
        <v>11</v>
      </c>
      <c r="C12" s="35">
        <f>IF($C$11&gt;0,$C$13/$C$11,"n/a")</f>
        <v>1.5625</v>
      </c>
      <c r="D12" s="3" t="s">
        <v>12</v>
      </c>
      <c r="E12" s="3"/>
      <c r="I12" s="33"/>
      <c r="J12" s="3"/>
      <c r="M12" s="3"/>
    </row>
    <row r="13" spans="1:13" ht="15" customHeight="1" x14ac:dyDescent="0.5">
      <c r="A13" s="2"/>
      <c r="B13" s="36" t="s">
        <v>13</v>
      </c>
      <c r="C13" s="37">
        <v>25</v>
      </c>
      <c r="D13" s="3" t="s">
        <v>10</v>
      </c>
      <c r="E13" s="3"/>
      <c r="H13" s="3"/>
      <c r="I13" s="3"/>
      <c r="J13" s="3"/>
      <c r="M13" s="3"/>
    </row>
    <row r="14" spans="1:13" ht="15" customHeight="1" x14ac:dyDescent="0.5">
      <c r="A14" s="2"/>
      <c r="B14" s="38" t="s">
        <v>15</v>
      </c>
      <c r="C14" s="39">
        <v>50</v>
      </c>
      <c r="D14" s="3" t="s">
        <v>10</v>
      </c>
      <c r="E14" s="3"/>
      <c r="H14" s="3"/>
      <c r="I14" s="3"/>
      <c r="J14" s="3"/>
      <c r="M14" s="3"/>
    </row>
    <row r="15" spans="1:13" ht="15" customHeight="1" x14ac:dyDescent="0.45">
      <c r="A15" s="3"/>
      <c r="B15" s="3"/>
      <c r="C15" s="3"/>
      <c r="D15" s="3"/>
      <c r="E15" s="3"/>
      <c r="H15" s="3"/>
      <c r="I15" s="3"/>
      <c r="J15" s="3"/>
      <c r="M15" s="3"/>
    </row>
    <row r="16" spans="1:13" ht="36.200000000000003" customHeight="1" x14ac:dyDescent="0.5">
      <c r="A16" s="2" t="s">
        <v>16</v>
      </c>
      <c r="B16" s="40" t="s">
        <v>17</v>
      </c>
      <c r="C16" s="41" t="s">
        <v>18</v>
      </c>
      <c r="D16" s="41" t="s">
        <v>19</v>
      </c>
      <c r="E16" s="41" t="s">
        <v>20</v>
      </c>
      <c r="F16" t="s">
        <v>21</v>
      </c>
      <c r="G16" t="s">
        <v>22</v>
      </c>
      <c r="H16" s="41" t="s">
        <v>23</v>
      </c>
      <c r="I16" s="42" t="s">
        <v>24</v>
      </c>
      <c r="J16" s="43" t="s">
        <v>25</v>
      </c>
      <c r="K16" t="s">
        <v>26</v>
      </c>
      <c r="L16" t="s">
        <v>27</v>
      </c>
      <c r="M16" s="19" t="s">
        <v>28</v>
      </c>
    </row>
    <row r="17" spans="1:13" ht="15" customHeight="1" x14ac:dyDescent="0.45">
      <c r="A17">
        <v>0.1487444196025183</v>
      </c>
      <c r="B17" t="s">
        <v>52</v>
      </c>
      <c r="C17">
        <v>6.05</v>
      </c>
      <c r="D17">
        <v>324.68</v>
      </c>
      <c r="E17">
        <f t="shared" ref="E17:E32" si="0">C17*1000000/(660*D17)</f>
        <v>28.232926779187711</v>
      </c>
      <c r="F17">
        <v>0.70679709711552974</v>
      </c>
      <c r="G17">
        <f t="shared" ref="G17:G32" si="1">E17*F17</f>
        <v>19.954950690605177</v>
      </c>
      <c r="H17">
        <f t="shared" ref="H17:H32" si="2">$C$14*($C$13*A17)/G17</f>
        <v>9.3175136028115713</v>
      </c>
      <c r="I17">
        <f t="shared" ref="I17:I32" si="3">IF(H17&gt;=1,1,MAX(2,ROUNDUP(1/H17,0)))</f>
        <v>1</v>
      </c>
      <c r="J17">
        <f t="shared" ref="J17:J32" si="4">H17*I17</f>
        <v>9.3175136028115713</v>
      </c>
      <c r="K17" t="str">
        <f t="shared" ref="K17:K32" si="5">IF(I17&gt;1,1.5,"")</f>
        <v/>
      </c>
      <c r="L17" t="str">
        <f t="shared" ref="L17:L32" si="6">IF(I17&gt;1,K17*(I17-1),"")</f>
        <v/>
      </c>
      <c r="M17">
        <f t="shared" ref="M17:M32" si="7">C17*H17</f>
        <v>56.370957297010001</v>
      </c>
    </row>
    <row r="18" spans="1:13" ht="15" customHeight="1" x14ac:dyDescent="0.45">
      <c r="A18">
        <v>0.1558729006303454</v>
      </c>
      <c r="B18" t="s">
        <v>37</v>
      </c>
      <c r="C18">
        <v>5.86</v>
      </c>
      <c r="D18">
        <v>296.72000000000003</v>
      </c>
      <c r="E18">
        <f t="shared" si="0"/>
        <v>29.923119030695194</v>
      </c>
      <c r="F18">
        <v>0.7684200381833789</v>
      </c>
      <c r="G18">
        <f t="shared" si="1"/>
        <v>22.993524268132592</v>
      </c>
      <c r="H18">
        <f t="shared" si="2"/>
        <v>8.4737391065347829</v>
      </c>
      <c r="I18">
        <f t="shared" si="3"/>
        <v>1</v>
      </c>
      <c r="J18">
        <f t="shared" si="4"/>
        <v>8.4737391065347829</v>
      </c>
      <c r="K18" t="str">
        <f t="shared" si="5"/>
        <v/>
      </c>
      <c r="L18" t="str">
        <f t="shared" si="6"/>
        <v/>
      </c>
      <c r="M18">
        <f t="shared" si="7"/>
        <v>49.656111164293833</v>
      </c>
    </row>
    <row r="19" spans="1:13" ht="15" customHeight="1" x14ac:dyDescent="0.45">
      <c r="A19">
        <v>0.11132269639108019</v>
      </c>
      <c r="B19" t="s">
        <v>53</v>
      </c>
      <c r="C19">
        <v>10.1</v>
      </c>
      <c r="D19">
        <v>369.03</v>
      </c>
      <c r="E19">
        <f t="shared" si="0"/>
        <v>41.468255434599634</v>
      </c>
      <c r="F19">
        <v>0.8814987515857623</v>
      </c>
      <c r="G19">
        <f t="shared" si="1"/>
        <v>36.554215396039076</v>
      </c>
      <c r="H19">
        <f t="shared" si="2"/>
        <v>3.8067667157186076</v>
      </c>
      <c r="I19">
        <f t="shared" si="3"/>
        <v>1</v>
      </c>
      <c r="J19">
        <f t="shared" si="4"/>
        <v>3.8067667157186076</v>
      </c>
      <c r="K19" t="str">
        <f t="shared" si="5"/>
        <v/>
      </c>
      <c r="L19" t="str">
        <f t="shared" si="6"/>
        <v/>
      </c>
      <c r="M19">
        <f t="shared" si="7"/>
        <v>38.448343828757935</v>
      </c>
    </row>
    <row r="20" spans="1:13" ht="15" customHeight="1" x14ac:dyDescent="0.45">
      <c r="A20">
        <v>9.3783961087496842E-2</v>
      </c>
      <c r="B20" t="s">
        <v>36</v>
      </c>
      <c r="C20">
        <v>16.8</v>
      </c>
      <c r="D20">
        <v>347.82</v>
      </c>
      <c r="E20">
        <f t="shared" si="0"/>
        <v>73.183098886048697</v>
      </c>
      <c r="F20">
        <v>0.81013397286333966</v>
      </c>
      <c r="G20">
        <f t="shared" si="1"/>
        <v>59.28811464700528</v>
      </c>
      <c r="H20">
        <f t="shared" si="2"/>
        <v>1.9772926168650309</v>
      </c>
      <c r="I20">
        <f t="shared" si="3"/>
        <v>1</v>
      </c>
      <c r="J20">
        <f t="shared" si="4"/>
        <v>1.9772926168650309</v>
      </c>
      <c r="K20" t="str">
        <f t="shared" si="5"/>
        <v/>
      </c>
      <c r="L20" t="str">
        <f t="shared" si="6"/>
        <v/>
      </c>
      <c r="M20">
        <f t="shared" si="7"/>
        <v>33.218515963332521</v>
      </c>
    </row>
    <row r="21" spans="1:13" ht="15" customHeight="1" x14ac:dyDescent="0.45">
      <c r="A21">
        <v>9.9930024201478215E-2</v>
      </c>
      <c r="B21" t="s">
        <v>54</v>
      </c>
      <c r="C21">
        <v>8.8699999999999992</v>
      </c>
      <c r="D21">
        <v>360.81</v>
      </c>
      <c r="E21">
        <f t="shared" si="0"/>
        <v>37.247842186729692</v>
      </c>
      <c r="F21">
        <v>0.90498683114688394</v>
      </c>
      <c r="G21">
        <f t="shared" si="1"/>
        <v>33.708806667627726</v>
      </c>
      <c r="H21">
        <f t="shared" si="2"/>
        <v>3.7056348948658453</v>
      </c>
      <c r="I21">
        <f t="shared" si="3"/>
        <v>1</v>
      </c>
      <c r="J21">
        <f t="shared" si="4"/>
        <v>3.7056348948658453</v>
      </c>
      <c r="K21" t="str">
        <f t="shared" si="5"/>
        <v/>
      </c>
      <c r="L21" t="str">
        <f t="shared" si="6"/>
        <v/>
      </c>
      <c r="M21">
        <f t="shared" si="7"/>
        <v>32.868981517460043</v>
      </c>
    </row>
    <row r="22" spans="1:13" ht="15" customHeight="1" x14ac:dyDescent="0.45">
      <c r="A22">
        <v>8.9132238792906382E-2</v>
      </c>
      <c r="B22" t="s">
        <v>55</v>
      </c>
      <c r="C22">
        <v>16.100000000000001</v>
      </c>
      <c r="D22">
        <v>360.52</v>
      </c>
      <c r="E22">
        <f t="shared" si="0"/>
        <v>67.663207017473084</v>
      </c>
      <c r="F22">
        <v>0.84692746588769674</v>
      </c>
      <c r="G22">
        <f t="shared" si="1"/>
        <v>57.3058284531431</v>
      </c>
      <c r="H22">
        <f t="shared" si="2"/>
        <v>1.9442228041818337</v>
      </c>
      <c r="I22">
        <f t="shared" si="3"/>
        <v>1</v>
      </c>
      <c r="J22">
        <f t="shared" si="4"/>
        <v>1.9442228041818337</v>
      </c>
      <c r="K22" t="str">
        <f t="shared" si="5"/>
        <v/>
      </c>
      <c r="L22" t="str">
        <f t="shared" si="6"/>
        <v/>
      </c>
      <c r="M22">
        <f t="shared" si="7"/>
        <v>31.301987147327527</v>
      </c>
    </row>
    <row r="23" spans="1:13" ht="15" customHeight="1" x14ac:dyDescent="0.45">
      <c r="A23">
        <v>8.3899578418182408E-2</v>
      </c>
      <c r="B23" t="s">
        <v>29</v>
      </c>
      <c r="C23">
        <v>6.22</v>
      </c>
      <c r="D23">
        <v>339.09</v>
      </c>
      <c r="E23">
        <f t="shared" si="0"/>
        <v>27.792746539981788</v>
      </c>
      <c r="F23">
        <v>0.93558671266291349</v>
      </c>
      <c r="G23">
        <f t="shared" si="1"/>
        <v>26.002524371215124</v>
      </c>
      <c r="H23">
        <f t="shared" si="2"/>
        <v>4.0332419854906236</v>
      </c>
      <c r="I23">
        <f t="shared" si="3"/>
        <v>1</v>
      </c>
      <c r="J23">
        <f t="shared" si="4"/>
        <v>4.0332419854906236</v>
      </c>
      <c r="K23" t="str">
        <f t="shared" si="5"/>
        <v/>
      </c>
      <c r="L23" t="str">
        <f t="shared" si="6"/>
        <v/>
      </c>
      <c r="M23">
        <f t="shared" si="7"/>
        <v>25.086765149751677</v>
      </c>
    </row>
    <row r="24" spans="1:13" ht="15" customHeight="1" x14ac:dyDescent="0.45">
      <c r="A24">
        <v>6.2376426231908352E-2</v>
      </c>
      <c r="B24" t="s">
        <v>56</v>
      </c>
      <c r="C24">
        <v>11.7</v>
      </c>
      <c r="D24">
        <v>332.9</v>
      </c>
      <c r="E24">
        <f t="shared" si="0"/>
        <v>53.251044539719821</v>
      </c>
      <c r="F24">
        <v>0.86245800947563722</v>
      </c>
      <c r="G24">
        <f t="shared" si="1"/>
        <v>45.926789876225257</v>
      </c>
      <c r="H24">
        <f t="shared" si="2"/>
        <v>1.6977135349546419</v>
      </c>
      <c r="I24">
        <f t="shared" si="3"/>
        <v>1</v>
      </c>
      <c r="J24">
        <f t="shared" si="4"/>
        <v>1.6977135349546419</v>
      </c>
      <c r="K24" t="str">
        <f t="shared" si="5"/>
        <v/>
      </c>
      <c r="L24" t="str">
        <f t="shared" si="6"/>
        <v/>
      </c>
      <c r="M24">
        <f t="shared" si="7"/>
        <v>19.863248358969308</v>
      </c>
    </row>
    <row r="25" spans="1:13" ht="15" customHeight="1" x14ac:dyDescent="0.45">
      <c r="A25">
        <v>4.0465219881692098E-2</v>
      </c>
      <c r="B25" t="s">
        <v>57</v>
      </c>
      <c r="C25">
        <v>12.2</v>
      </c>
      <c r="D25">
        <v>342.87</v>
      </c>
      <c r="E25">
        <f t="shared" si="0"/>
        <v>53.912119709652302</v>
      </c>
      <c r="F25">
        <v>0.91772928068674875</v>
      </c>
      <c r="G25">
        <f t="shared" si="1"/>
        <v>49.476730841437096</v>
      </c>
      <c r="H25">
        <f t="shared" si="2"/>
        <v>1.0223295676955431</v>
      </c>
      <c r="I25">
        <f t="shared" si="3"/>
        <v>1</v>
      </c>
      <c r="J25">
        <f t="shared" si="4"/>
        <v>1.0223295676955431</v>
      </c>
      <c r="K25" t="str">
        <f t="shared" si="5"/>
        <v/>
      </c>
      <c r="L25" t="str">
        <f t="shared" si="6"/>
        <v/>
      </c>
      <c r="M25">
        <f t="shared" si="7"/>
        <v>12.472420725885625</v>
      </c>
    </row>
    <row r="26" spans="1:13" ht="15" customHeight="1" x14ac:dyDescent="0.45">
      <c r="A26">
        <v>3.1314856971114781E-2</v>
      </c>
      <c r="B26" t="s">
        <v>58</v>
      </c>
      <c r="C26">
        <v>17.899999999999999</v>
      </c>
      <c r="D26">
        <v>349.97</v>
      </c>
      <c r="E26">
        <f t="shared" si="0"/>
        <v>77.495819988033602</v>
      </c>
      <c r="F26">
        <v>0.90100874060190805</v>
      </c>
      <c r="G26">
        <f t="shared" si="1"/>
        <v>69.824411169330332</v>
      </c>
      <c r="H26">
        <f t="shared" si="2"/>
        <v>0.56060009040343894</v>
      </c>
      <c r="I26">
        <f t="shared" si="3"/>
        <v>2</v>
      </c>
      <c r="J26">
        <f t="shared" si="4"/>
        <v>1.1212001808068779</v>
      </c>
      <c r="K26">
        <f t="shared" si="5"/>
        <v>1.5</v>
      </c>
      <c r="L26">
        <f t="shared" si="6"/>
        <v>1.5</v>
      </c>
      <c r="M26">
        <f t="shared" si="7"/>
        <v>10.034741618221556</v>
      </c>
    </row>
    <row r="27" spans="1:13" ht="15" customHeight="1" x14ac:dyDescent="0.45">
      <c r="A27">
        <v>2.1448197372724329E-2</v>
      </c>
      <c r="B27" t="s">
        <v>42</v>
      </c>
      <c r="C27">
        <v>12.3</v>
      </c>
      <c r="D27">
        <v>343.04</v>
      </c>
      <c r="E27">
        <f t="shared" si="0"/>
        <v>54.327086160108543</v>
      </c>
      <c r="F27">
        <v>0.88296712119802756</v>
      </c>
      <c r="G27">
        <f t="shared" si="1"/>
        <v>47.969030869868249</v>
      </c>
      <c r="H27">
        <f t="shared" si="2"/>
        <v>0.55890740817001305</v>
      </c>
      <c r="I27">
        <f t="shared" si="3"/>
        <v>2</v>
      </c>
      <c r="J27">
        <f t="shared" si="4"/>
        <v>1.1178148163400261</v>
      </c>
      <c r="K27">
        <f t="shared" si="5"/>
        <v>1.5</v>
      </c>
      <c r="L27">
        <f t="shared" si="6"/>
        <v>1.5</v>
      </c>
      <c r="M27">
        <f t="shared" si="7"/>
        <v>6.874561120491161</v>
      </c>
    </row>
    <row r="28" spans="1:13" ht="15" customHeight="1" x14ac:dyDescent="0.45">
      <c r="A28">
        <v>2.062370604798433E-2</v>
      </c>
      <c r="B28" t="s">
        <v>59</v>
      </c>
      <c r="C28">
        <v>4.96</v>
      </c>
      <c r="D28">
        <v>356.16</v>
      </c>
      <c r="E28">
        <f t="shared" si="0"/>
        <v>21.100492798606005</v>
      </c>
      <c r="F28">
        <v>1.0575596550203989</v>
      </c>
      <c r="G28">
        <f t="shared" si="1"/>
        <v>22.31502988485418</v>
      </c>
      <c r="H28">
        <f t="shared" si="2"/>
        <v>1.1552587064863289</v>
      </c>
      <c r="I28">
        <f t="shared" si="3"/>
        <v>1</v>
      </c>
      <c r="J28">
        <f t="shared" si="4"/>
        <v>1.1552587064863289</v>
      </c>
      <c r="K28" t="str">
        <f t="shared" si="5"/>
        <v/>
      </c>
      <c r="L28" t="str">
        <f t="shared" si="6"/>
        <v/>
      </c>
      <c r="M28">
        <f t="shared" si="7"/>
        <v>5.7300831841721909</v>
      </c>
    </row>
    <row r="29" spans="1:13" ht="15" customHeight="1" x14ac:dyDescent="0.45">
      <c r="A29">
        <v>1.1472078113987349E-2</v>
      </c>
      <c r="B29" t="s">
        <v>45</v>
      </c>
      <c r="C29">
        <v>11.7</v>
      </c>
      <c r="D29">
        <v>350.92</v>
      </c>
      <c r="E29">
        <f t="shared" si="0"/>
        <v>50.516564251888539</v>
      </c>
      <c r="F29">
        <v>0.90981816863705567</v>
      </c>
      <c r="G29">
        <f t="shared" si="1"/>
        <v>45.960887973489385</v>
      </c>
      <c r="H29">
        <f t="shared" si="2"/>
        <v>0.3120065402295028</v>
      </c>
      <c r="I29">
        <f t="shared" si="3"/>
        <v>4</v>
      </c>
      <c r="J29">
        <f t="shared" si="4"/>
        <v>1.2480261609180112</v>
      </c>
      <c r="K29">
        <f t="shared" si="5"/>
        <v>1.5</v>
      </c>
      <c r="L29">
        <f t="shared" si="6"/>
        <v>4.5</v>
      </c>
      <c r="M29">
        <f t="shared" si="7"/>
        <v>3.6504765206851828</v>
      </c>
    </row>
    <row r="30" spans="1:13" ht="15" customHeight="1" x14ac:dyDescent="0.45">
      <c r="A30">
        <v>1.34614051195255E-2</v>
      </c>
      <c r="B30" t="s">
        <v>43</v>
      </c>
      <c r="C30">
        <v>14</v>
      </c>
      <c r="D30">
        <v>341.96</v>
      </c>
      <c r="E30">
        <f t="shared" si="0"/>
        <v>62.031001322146494</v>
      </c>
      <c r="F30">
        <v>1.102560834659992</v>
      </c>
      <c r="G30">
        <f t="shared" si="1"/>
        <v>68.392952592540908</v>
      </c>
      <c r="H30">
        <f t="shared" si="2"/>
        <v>0.24603055960537723</v>
      </c>
      <c r="I30">
        <f t="shared" si="3"/>
        <v>5</v>
      </c>
      <c r="J30">
        <f t="shared" si="4"/>
        <v>1.2301527980268863</v>
      </c>
      <c r="K30">
        <f t="shared" si="5"/>
        <v>1.5</v>
      </c>
      <c r="L30">
        <f t="shared" si="6"/>
        <v>6</v>
      </c>
      <c r="M30">
        <f t="shared" si="7"/>
        <v>3.444427834475281</v>
      </c>
    </row>
    <row r="31" spans="1:13" ht="15" customHeight="1" x14ac:dyDescent="0.45">
      <c r="A31">
        <v>1.032623091112536E-2</v>
      </c>
      <c r="B31" t="s">
        <v>60</v>
      </c>
      <c r="C31">
        <v>3.85</v>
      </c>
      <c r="D31">
        <v>350.85</v>
      </c>
      <c r="E31">
        <f t="shared" si="0"/>
        <v>16.626288537361642</v>
      </c>
      <c r="F31">
        <v>1.016957392088796</v>
      </c>
      <c r="G31">
        <f t="shared" si="1"/>
        <v>16.908227031071139</v>
      </c>
      <c r="H31">
        <f t="shared" si="2"/>
        <v>0.76340284615216625</v>
      </c>
      <c r="I31">
        <f t="shared" si="3"/>
        <v>2</v>
      </c>
      <c r="J31">
        <f t="shared" si="4"/>
        <v>1.5268056923043325</v>
      </c>
      <c r="K31">
        <f t="shared" si="5"/>
        <v>1.5</v>
      </c>
      <c r="L31">
        <f t="shared" si="6"/>
        <v>1.5</v>
      </c>
      <c r="M31">
        <f t="shared" si="7"/>
        <v>2.9391009576858402</v>
      </c>
    </row>
    <row r="32" spans="1:13" ht="15" customHeight="1" x14ac:dyDescent="0.45">
      <c r="A32">
        <v>5.8260602259301523E-3</v>
      </c>
      <c r="B32" t="s">
        <v>61</v>
      </c>
      <c r="C32">
        <v>5.28</v>
      </c>
      <c r="D32">
        <v>348.69</v>
      </c>
      <c r="E32">
        <f t="shared" si="0"/>
        <v>22.943015285783936</v>
      </c>
      <c r="F32">
        <v>1.0438082577405561</v>
      </c>
      <c r="G32">
        <f t="shared" si="1"/>
        <v>23.948108812769078</v>
      </c>
      <c r="H32">
        <f t="shared" si="2"/>
        <v>0.30409813732471591</v>
      </c>
      <c r="I32">
        <f t="shared" si="3"/>
        <v>4</v>
      </c>
      <c r="J32">
        <f t="shared" si="4"/>
        <v>1.2163925492988636</v>
      </c>
      <c r="K32">
        <f t="shared" si="5"/>
        <v>1.5</v>
      </c>
      <c r="L32">
        <f t="shared" si="6"/>
        <v>4.5</v>
      </c>
      <c r="M32">
        <f t="shared" si="7"/>
        <v>1.6056381650745002</v>
      </c>
    </row>
    <row r="33" spans="1:13" ht="15" customHeight="1" x14ac:dyDescent="0.5">
      <c r="A33" s="44"/>
      <c r="E33" s="44"/>
      <c r="G33" t="s">
        <v>30</v>
      </c>
      <c r="H33" s="2">
        <f>SUM(J17:J32)</f>
        <v>44.59410573329982</v>
      </c>
      <c r="I33" s="45"/>
      <c r="J33" s="46"/>
      <c r="M33" s="22">
        <f>SUM(M17:M32)</f>
        <v>333.56636055359422</v>
      </c>
    </row>
    <row r="34" spans="1:13" ht="15" customHeight="1" x14ac:dyDescent="0.5">
      <c r="A34" s="44"/>
      <c r="E34" s="44"/>
      <c r="G34" t="s">
        <v>62</v>
      </c>
      <c r="H34" s="2">
        <f>$C$14-H33</f>
        <v>5.4058942667001801</v>
      </c>
      <c r="I34" s="47"/>
      <c r="J34" s="48" t="s">
        <v>33</v>
      </c>
      <c r="M34" s="49"/>
    </row>
    <row r="35" spans="1:13" ht="15" customHeight="1" x14ac:dyDescent="0.5">
      <c r="A35" s="44"/>
      <c r="E35" s="44"/>
      <c r="G35" t="s">
        <v>34</v>
      </c>
      <c r="H35" s="2">
        <f>SUM(H33:H34)</f>
        <v>50</v>
      </c>
      <c r="I35" s="50"/>
      <c r="J35" s="51"/>
      <c r="M35" s="28"/>
    </row>
    <row r="36" spans="1:13" ht="15" customHeight="1" x14ac:dyDescent="0.5">
      <c r="A36" s="3"/>
      <c r="E36" s="2"/>
      <c r="G36" t="s">
        <v>63</v>
      </c>
      <c r="H36" s="2">
        <f>SUM(M17:M32)/H35</f>
        <v>6.6713272110718842</v>
      </c>
      <c r="I36" s="2"/>
      <c r="J36" s="52"/>
      <c r="M36" s="2"/>
    </row>
    <row r="37" spans="1:13" ht="15" customHeight="1" x14ac:dyDescent="0.45"/>
    <row r="38" spans="1:13" ht="15" customHeight="1" x14ac:dyDescent="0.45"/>
    <row r="39" spans="1:13" ht="15" customHeight="1" x14ac:dyDescent="0.45"/>
    <row r="40" spans="1:13" ht="15" customHeight="1" x14ac:dyDescent="0.45"/>
    <row r="41" spans="1:13" ht="15" customHeight="1" x14ac:dyDescent="0.45"/>
    <row r="42" spans="1:13" ht="15" customHeight="1" x14ac:dyDescent="0.45"/>
    <row r="43" spans="1:13" ht="15" customHeight="1" x14ac:dyDescent="0.45"/>
    <row r="44" spans="1:13" ht="15" customHeight="1" x14ac:dyDescent="0.45"/>
    <row r="45" spans="1:13" ht="15" customHeight="1" x14ac:dyDescent="0.45"/>
    <row r="46" spans="1:13" ht="15" customHeight="1" x14ac:dyDescent="0.45"/>
    <row r="47" spans="1:13" ht="15" customHeight="1" x14ac:dyDescent="0.45"/>
    <row r="48" spans="1:13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1048574" ht="12.85" customHeight="1" x14ac:dyDescent="0.45"/>
    <row r="1048575" ht="12.85" customHeight="1" x14ac:dyDescent="0.45"/>
    <row r="1048576" ht="12.85" customHeight="1" x14ac:dyDescent="0.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48576"/>
  <sheetViews>
    <sheetView tabSelected="1" topLeftCell="A9" workbookViewId="0">
      <selection activeCell="I21" sqref="I21"/>
    </sheetView>
  </sheetViews>
  <sheetFormatPr defaultRowHeight="14.25" x14ac:dyDescent="0.45"/>
  <cols>
    <col min="1" max="1" width="10.796875" customWidth="1"/>
    <col min="2" max="2" width="33.6640625" customWidth="1"/>
    <col min="3" max="3" width="12.3984375" customWidth="1"/>
    <col min="4" max="4" width="10.796875" customWidth="1"/>
    <col min="7" max="7" width="13.6640625" customWidth="1"/>
    <col min="8" max="8" width="10.796875" customWidth="1"/>
  </cols>
  <sheetData>
    <row r="1" spans="1:13" ht="19.7" customHeight="1" x14ac:dyDescent="0.65">
      <c r="A1" s="1" t="s">
        <v>0</v>
      </c>
    </row>
    <row r="3" spans="1:13" ht="15" customHeight="1" x14ac:dyDescent="0.5">
      <c r="A3" s="2" t="s">
        <v>1</v>
      </c>
      <c r="B3" s="3"/>
      <c r="C3" s="3"/>
      <c r="D3" s="3"/>
      <c r="E3" s="3"/>
      <c r="H3" s="3"/>
      <c r="I3" s="3"/>
      <c r="J3" s="3"/>
      <c r="M3" s="3"/>
    </row>
    <row r="4" spans="1:13" ht="15" customHeight="1" x14ac:dyDescent="0.5">
      <c r="A4" s="2"/>
      <c r="B4" s="3" t="s">
        <v>2</v>
      </c>
      <c r="C4" s="3"/>
      <c r="D4" s="3"/>
      <c r="E4" s="3"/>
      <c r="H4" s="3"/>
      <c r="I4" s="3"/>
      <c r="J4" s="3"/>
      <c r="M4" s="3"/>
    </row>
    <row r="5" spans="1:13" ht="15" customHeight="1" x14ac:dyDescent="0.5">
      <c r="A5" s="2"/>
      <c r="B5" s="3" t="s">
        <v>3</v>
      </c>
      <c r="C5" s="3"/>
      <c r="D5" s="3"/>
      <c r="E5" s="3"/>
      <c r="H5" s="3"/>
      <c r="I5" s="3"/>
      <c r="J5" s="3"/>
      <c r="M5" s="3"/>
    </row>
    <row r="6" spans="1:13" ht="15" customHeight="1" x14ac:dyDescent="0.5">
      <c r="A6" s="2"/>
      <c r="B6" s="3" t="s">
        <v>50</v>
      </c>
      <c r="C6" s="3"/>
      <c r="D6" s="3"/>
      <c r="E6" s="3"/>
      <c r="H6" s="3"/>
      <c r="I6" s="3"/>
      <c r="J6" s="3"/>
      <c r="M6" s="3"/>
    </row>
    <row r="7" spans="1:13" ht="15" customHeight="1" x14ac:dyDescent="0.5">
      <c r="A7" s="2"/>
      <c r="B7" s="3" t="s">
        <v>5</v>
      </c>
      <c r="C7" s="3"/>
      <c r="D7" s="3"/>
      <c r="E7" s="3"/>
      <c r="H7" s="3"/>
      <c r="I7" s="3"/>
      <c r="J7" s="3"/>
      <c r="M7" s="3"/>
    </row>
    <row r="8" spans="1:13" ht="15" customHeight="1" x14ac:dyDescent="0.5">
      <c r="A8" s="2"/>
      <c r="B8" s="3" t="s">
        <v>6</v>
      </c>
      <c r="C8" s="3"/>
      <c r="D8" s="3"/>
      <c r="E8" s="3"/>
      <c r="H8" s="3"/>
      <c r="I8" s="3"/>
      <c r="J8" s="3"/>
      <c r="M8" s="3"/>
    </row>
    <row r="9" spans="1:13" ht="15" customHeight="1" x14ac:dyDescent="0.5">
      <c r="A9" s="2"/>
      <c r="B9" s="2"/>
      <c r="C9" s="3"/>
      <c r="D9" s="3"/>
      <c r="E9" s="3"/>
      <c r="H9" s="3"/>
      <c r="I9" s="3"/>
      <c r="J9" s="3"/>
      <c r="M9" s="3"/>
    </row>
    <row r="10" spans="1:13" ht="36.200000000000003" customHeight="1" x14ac:dyDescent="0.5">
      <c r="A10" s="2"/>
      <c r="B10" s="29" t="s">
        <v>7</v>
      </c>
      <c r="C10" s="30" t="s">
        <v>64</v>
      </c>
      <c r="D10" s="3"/>
      <c r="E10" s="3"/>
      <c r="H10" s="3"/>
      <c r="I10" s="3"/>
      <c r="J10" s="3"/>
      <c r="M10" s="3"/>
    </row>
    <row r="11" spans="1:13" ht="15" customHeight="1" x14ac:dyDescent="0.5">
      <c r="A11" s="2"/>
      <c r="B11" s="31" t="s">
        <v>9</v>
      </c>
      <c r="C11" s="32">
        <v>16</v>
      </c>
      <c r="D11" s="3" t="s">
        <v>10</v>
      </c>
      <c r="E11" s="3"/>
      <c r="I11" s="3"/>
      <c r="J11" s="3"/>
      <c r="M11" s="3"/>
    </row>
    <row r="12" spans="1:13" ht="15" customHeight="1" x14ac:dyDescent="0.5">
      <c r="A12" s="2"/>
      <c r="B12" s="34" t="s">
        <v>11</v>
      </c>
      <c r="C12" s="35">
        <f>IF($C$11&gt;0,$C$13/$C$11,"n/a")</f>
        <v>1.875</v>
      </c>
      <c r="D12" s="3" t="s">
        <v>12</v>
      </c>
      <c r="E12" s="3"/>
      <c r="I12" s="3"/>
      <c r="J12" s="3"/>
      <c r="M12" s="3"/>
    </row>
    <row r="13" spans="1:13" ht="15" customHeight="1" x14ac:dyDescent="0.5">
      <c r="A13" s="2"/>
      <c r="B13" s="36" t="s">
        <v>13</v>
      </c>
      <c r="C13" s="37">
        <v>30</v>
      </c>
      <c r="D13" s="3" t="s">
        <v>10</v>
      </c>
      <c r="E13" s="3"/>
      <c r="H13" s="3"/>
      <c r="I13" s="3"/>
      <c r="J13" s="3"/>
      <c r="M13" s="3"/>
    </row>
    <row r="14" spans="1:13" ht="15" customHeight="1" x14ac:dyDescent="0.5">
      <c r="A14" s="2"/>
      <c r="B14" s="38" t="s">
        <v>15</v>
      </c>
      <c r="C14" s="39">
        <v>50</v>
      </c>
      <c r="D14" s="3" t="s">
        <v>10</v>
      </c>
      <c r="E14" s="3"/>
      <c r="H14" s="3"/>
      <c r="I14" s="3"/>
      <c r="J14" s="3"/>
      <c r="M14" s="3"/>
    </row>
    <row r="15" spans="1:13" ht="15" customHeight="1" x14ac:dyDescent="0.45">
      <c r="A15" s="3"/>
      <c r="B15" s="3"/>
      <c r="C15" s="3"/>
      <c r="D15" s="3"/>
      <c r="E15" s="3"/>
      <c r="H15" s="3"/>
      <c r="I15" s="3"/>
      <c r="J15" s="3"/>
      <c r="M15" s="3"/>
    </row>
    <row r="16" spans="1:13" ht="36.200000000000003" customHeight="1" x14ac:dyDescent="0.5">
      <c r="A16" s="2" t="s">
        <v>16</v>
      </c>
      <c r="B16" s="40" t="s">
        <v>17</v>
      </c>
      <c r="C16" s="41" t="s">
        <v>18</v>
      </c>
      <c r="D16" s="41" t="s">
        <v>19</v>
      </c>
      <c r="E16" s="41" t="s">
        <v>20</v>
      </c>
      <c r="F16" t="s">
        <v>21</v>
      </c>
      <c r="G16" t="s">
        <v>22</v>
      </c>
      <c r="H16" s="41" t="s">
        <v>23</v>
      </c>
      <c r="I16" s="42" t="s">
        <v>24</v>
      </c>
      <c r="J16" s="43" t="s">
        <v>25</v>
      </c>
      <c r="K16" t="s">
        <v>26</v>
      </c>
      <c r="L16" t="s">
        <v>27</v>
      </c>
      <c r="M16" s="19" t="s">
        <v>28</v>
      </c>
    </row>
    <row r="17" spans="1:13" ht="15" customHeight="1" x14ac:dyDescent="0.45">
      <c r="A17">
        <v>0.1649509918227498</v>
      </c>
      <c r="B17" t="s">
        <v>54</v>
      </c>
      <c r="C17">
        <v>7.53</v>
      </c>
      <c r="D17">
        <v>197.11</v>
      </c>
      <c r="E17">
        <f t="shared" ref="E17:E32" si="0">C17*1000000/(660*D17)</f>
        <v>57.88184723804428</v>
      </c>
      <c r="F17">
        <v>0.81505490285645021</v>
      </c>
      <c r="G17">
        <f t="shared" ref="G17:G32" si="1">E17*F17</f>
        <v>47.17688337775607</v>
      </c>
      <c r="H17">
        <f t="shared" ref="H17:H32" si="2">$C$14*($C$13*A17)/G17</f>
        <v>5.2446552213490731</v>
      </c>
      <c r="I17">
        <f t="shared" ref="I17:I32" si="3">IF(H17&gt;=1,1,MAX(2,ROUNDUP(1/H17,0)))</f>
        <v>1</v>
      </c>
      <c r="J17">
        <f t="shared" ref="J17:J32" si="4">H17*I17</f>
        <v>5.2446552213490731</v>
      </c>
      <c r="K17" t="str">
        <f t="shared" ref="K17:K32" si="5">IF(I17&gt;1,1.5,"")</f>
        <v/>
      </c>
      <c r="L17" t="str">
        <f t="shared" ref="L17:L32" si="6">IF(I17&gt;1,K17*(I17-1),"")</f>
        <v/>
      </c>
      <c r="M17">
        <f t="shared" ref="M17:M32" si="7">C17*H17</f>
        <v>39.49225381675852</v>
      </c>
    </row>
    <row r="18" spans="1:13" ht="15" customHeight="1" x14ac:dyDescent="0.45">
      <c r="A18">
        <v>0.21421825091045529</v>
      </c>
      <c r="B18" t="s">
        <v>52</v>
      </c>
      <c r="C18">
        <v>5.37</v>
      </c>
      <c r="D18">
        <v>206.53</v>
      </c>
      <c r="E18">
        <f t="shared" si="0"/>
        <v>39.395553364468299</v>
      </c>
      <c r="F18">
        <v>1.065384077725323</v>
      </c>
      <c r="G18">
        <f t="shared" si="1"/>
        <v>41.971395287682803</v>
      </c>
      <c r="H18">
        <f t="shared" si="2"/>
        <v>7.6558659573555268</v>
      </c>
      <c r="I18">
        <f t="shared" si="3"/>
        <v>1</v>
      </c>
      <c r="J18">
        <f t="shared" si="4"/>
        <v>7.6558659573555268</v>
      </c>
      <c r="K18" t="str">
        <f t="shared" si="5"/>
        <v/>
      </c>
      <c r="L18" t="str">
        <f t="shared" si="6"/>
        <v/>
      </c>
      <c r="M18">
        <f t="shared" si="7"/>
        <v>41.112000190999183</v>
      </c>
    </row>
    <row r="19" spans="1:13" ht="15" customHeight="1" x14ac:dyDescent="0.45">
      <c r="A19">
        <v>9.3995524927621393E-2</v>
      </c>
      <c r="B19" t="s">
        <v>65</v>
      </c>
      <c r="C19">
        <v>4.6399999999999997</v>
      </c>
      <c r="D19">
        <v>202.02</v>
      </c>
      <c r="E19">
        <f t="shared" si="0"/>
        <v>34.800034800034794</v>
      </c>
      <c r="F19">
        <v>0.97786614883413403</v>
      </c>
      <c r="G19">
        <f t="shared" si="1"/>
        <v>34.029776009203864</v>
      </c>
      <c r="H19">
        <f t="shared" si="2"/>
        <v>4.1432328956058466</v>
      </c>
      <c r="I19">
        <f t="shared" si="3"/>
        <v>1</v>
      </c>
      <c r="J19">
        <f t="shared" si="4"/>
        <v>4.1432328956058466</v>
      </c>
      <c r="K19" t="str">
        <f t="shared" si="5"/>
        <v/>
      </c>
      <c r="L19" t="str">
        <f t="shared" si="6"/>
        <v/>
      </c>
      <c r="M19">
        <f t="shared" si="7"/>
        <v>19.224600635611129</v>
      </c>
    </row>
    <row r="20" spans="1:13" ht="15" customHeight="1" x14ac:dyDescent="0.45">
      <c r="A20">
        <v>8.0536014676167972E-2</v>
      </c>
      <c r="B20" t="s">
        <v>59</v>
      </c>
      <c r="C20">
        <v>9.11</v>
      </c>
      <c r="D20">
        <v>190.24</v>
      </c>
      <c r="E20">
        <f t="shared" si="0"/>
        <v>72.55587838010041</v>
      </c>
      <c r="F20">
        <v>0.88926100956430254</v>
      </c>
      <c r="G20">
        <f t="shared" si="1"/>
        <v>64.521113658112839</v>
      </c>
      <c r="H20">
        <f t="shared" si="2"/>
        <v>1.872317682772392</v>
      </c>
      <c r="I20">
        <f t="shared" si="3"/>
        <v>1</v>
      </c>
      <c r="J20">
        <f t="shared" si="4"/>
        <v>1.872317682772392</v>
      </c>
      <c r="K20" t="str">
        <f t="shared" si="5"/>
        <v/>
      </c>
      <c r="L20" t="str">
        <f t="shared" si="6"/>
        <v/>
      </c>
      <c r="M20">
        <f t="shared" si="7"/>
        <v>17.056814090056491</v>
      </c>
    </row>
    <row r="21" spans="1:13" ht="15" customHeight="1" x14ac:dyDescent="0.45">
      <c r="A21">
        <v>6.4825243328983886E-2</v>
      </c>
      <c r="B21" t="s">
        <v>36</v>
      </c>
      <c r="C21">
        <v>6.32</v>
      </c>
      <c r="D21">
        <v>176.6</v>
      </c>
      <c r="E21">
        <f t="shared" si="0"/>
        <v>54.222862829884349</v>
      </c>
      <c r="F21">
        <v>0.77058759345935157</v>
      </c>
      <c r="G21">
        <f t="shared" si="1"/>
        <v>41.783465378557104</v>
      </c>
      <c r="H21">
        <f t="shared" si="2"/>
        <v>2.3271852660496997</v>
      </c>
      <c r="I21">
        <f t="shared" si="3"/>
        <v>1</v>
      </c>
      <c r="J21">
        <f t="shared" si="4"/>
        <v>2.3271852660496997</v>
      </c>
      <c r="K21" t="str">
        <f t="shared" si="5"/>
        <v/>
      </c>
      <c r="L21" t="str">
        <f t="shared" si="6"/>
        <v/>
      </c>
      <c r="M21">
        <f t="shared" si="7"/>
        <v>14.707810881434103</v>
      </c>
    </row>
    <row r="22" spans="1:13" ht="15" customHeight="1" x14ac:dyDescent="0.45">
      <c r="A22">
        <v>5.1540153991923472E-2</v>
      </c>
      <c r="B22" t="s">
        <v>56</v>
      </c>
      <c r="C22">
        <v>5.49</v>
      </c>
      <c r="D22">
        <v>179.49</v>
      </c>
      <c r="E22">
        <f t="shared" si="0"/>
        <v>46.343427590293707</v>
      </c>
      <c r="F22">
        <v>0.75303074011640525</v>
      </c>
      <c r="G22">
        <f t="shared" si="1"/>
        <v>34.898025577849907</v>
      </c>
      <c r="H22">
        <f t="shared" si="2"/>
        <v>2.2153181937305564</v>
      </c>
      <c r="I22">
        <f t="shared" si="3"/>
        <v>1</v>
      </c>
      <c r="J22">
        <f t="shared" si="4"/>
        <v>2.2153181937305564</v>
      </c>
      <c r="K22" t="str">
        <f t="shared" si="5"/>
        <v/>
      </c>
      <c r="L22" t="str">
        <f t="shared" si="6"/>
        <v/>
      </c>
      <c r="M22">
        <f t="shared" si="7"/>
        <v>12.162096883580755</v>
      </c>
    </row>
    <row r="23" spans="1:13" ht="15" customHeight="1" x14ac:dyDescent="0.45">
      <c r="A23">
        <v>5.2299842071563192E-2</v>
      </c>
      <c r="B23" t="s">
        <v>42</v>
      </c>
      <c r="C23">
        <v>7.32</v>
      </c>
      <c r="D23">
        <v>190.1</v>
      </c>
      <c r="E23">
        <f t="shared" si="0"/>
        <v>58.342499163119889</v>
      </c>
      <c r="F23">
        <v>0.8621294865203214</v>
      </c>
      <c r="G23">
        <f t="shared" si="1"/>
        <v>50.29878884581283</v>
      </c>
      <c r="H23">
        <f t="shared" si="2"/>
        <v>1.5596749923308622</v>
      </c>
      <c r="I23">
        <f t="shared" si="3"/>
        <v>1</v>
      </c>
      <c r="J23">
        <f t="shared" si="4"/>
        <v>1.5596749923308622</v>
      </c>
      <c r="K23" t="str">
        <f t="shared" si="5"/>
        <v/>
      </c>
      <c r="L23" t="str">
        <f t="shared" si="6"/>
        <v/>
      </c>
      <c r="M23">
        <f t="shared" si="7"/>
        <v>11.416820943861911</v>
      </c>
    </row>
    <row r="24" spans="1:13" ht="15" customHeight="1" x14ac:dyDescent="0.45">
      <c r="A24">
        <v>5.5193936044771158E-2</v>
      </c>
      <c r="B24" t="s">
        <v>53</v>
      </c>
      <c r="C24">
        <v>5.92</v>
      </c>
      <c r="D24">
        <v>193.75</v>
      </c>
      <c r="E24">
        <f t="shared" si="0"/>
        <v>46.29521016617791</v>
      </c>
      <c r="F24">
        <v>0.96913858461918956</v>
      </c>
      <c r="G24">
        <f t="shared" si="1"/>
        <v>44.866474455097574</v>
      </c>
      <c r="H24">
        <f t="shared" si="2"/>
        <v>1.8452732262262768</v>
      </c>
      <c r="I24">
        <f t="shared" si="3"/>
        <v>1</v>
      </c>
      <c r="J24">
        <f t="shared" si="4"/>
        <v>1.8452732262262768</v>
      </c>
      <c r="K24" t="str">
        <f t="shared" si="5"/>
        <v/>
      </c>
      <c r="L24" t="str">
        <f t="shared" si="6"/>
        <v/>
      </c>
      <c r="M24">
        <f t="shared" si="7"/>
        <v>10.924017499259559</v>
      </c>
    </row>
    <row r="25" spans="1:13" ht="15" customHeight="1" x14ac:dyDescent="0.45">
      <c r="A25">
        <v>3.9706474565904738E-2</v>
      </c>
      <c r="B25" t="s">
        <v>45</v>
      </c>
      <c r="C25">
        <v>5.54</v>
      </c>
      <c r="D25">
        <v>198.35</v>
      </c>
      <c r="E25">
        <f t="shared" si="0"/>
        <v>42.318827294879725</v>
      </c>
      <c r="F25">
        <v>0.8929978829728703</v>
      </c>
      <c r="G25">
        <f t="shared" si="1"/>
        <v>37.790623184222113</v>
      </c>
      <c r="H25">
        <f t="shared" si="2"/>
        <v>1.5760447124281287</v>
      </c>
      <c r="I25">
        <f t="shared" si="3"/>
        <v>1</v>
      </c>
      <c r="J25">
        <f t="shared" si="4"/>
        <v>1.5760447124281287</v>
      </c>
      <c r="K25" t="str">
        <f t="shared" si="5"/>
        <v/>
      </c>
      <c r="L25" t="str">
        <f t="shared" si="6"/>
        <v/>
      </c>
      <c r="M25">
        <f t="shared" si="7"/>
        <v>8.731287706851834</v>
      </c>
    </row>
    <row r="26" spans="1:13" ht="15" customHeight="1" x14ac:dyDescent="0.45">
      <c r="A26">
        <v>3.7956583581804773E-2</v>
      </c>
      <c r="B26" t="s">
        <v>38</v>
      </c>
      <c r="C26">
        <v>5.9</v>
      </c>
      <c r="D26">
        <v>200.22</v>
      </c>
      <c r="E26">
        <f t="shared" si="0"/>
        <v>44.647857054210064</v>
      </c>
      <c r="F26">
        <v>0.87864450179969711</v>
      </c>
      <c r="G26">
        <f t="shared" si="1"/>
        <v>39.229594117820497</v>
      </c>
      <c r="H26">
        <f t="shared" si="2"/>
        <v>1.4513246097247749</v>
      </c>
      <c r="I26">
        <f t="shared" si="3"/>
        <v>1</v>
      </c>
      <c r="J26">
        <f t="shared" si="4"/>
        <v>1.4513246097247749</v>
      </c>
      <c r="K26" t="str">
        <f t="shared" si="5"/>
        <v/>
      </c>
      <c r="L26" t="str">
        <f t="shared" si="6"/>
        <v/>
      </c>
      <c r="M26">
        <f t="shared" si="7"/>
        <v>8.5628151973761728</v>
      </c>
    </row>
    <row r="27" spans="1:13" ht="15" customHeight="1" x14ac:dyDescent="0.45">
      <c r="A27">
        <v>3.093527958875452E-2</v>
      </c>
      <c r="B27" t="s">
        <v>57</v>
      </c>
      <c r="C27">
        <v>12.5</v>
      </c>
      <c r="D27">
        <v>212.04</v>
      </c>
      <c r="E27">
        <f t="shared" si="0"/>
        <v>89.319911051659787</v>
      </c>
      <c r="F27">
        <v>1.074516446002459</v>
      </c>
      <c r="G27">
        <f t="shared" si="1"/>
        <v>95.975713380485232</v>
      </c>
      <c r="H27">
        <f t="shared" si="2"/>
        <v>0.48348605859455795</v>
      </c>
      <c r="I27">
        <f t="shared" si="3"/>
        <v>3</v>
      </c>
      <c r="J27">
        <f t="shared" si="4"/>
        <v>1.4504581757836739</v>
      </c>
      <c r="K27">
        <f t="shared" si="5"/>
        <v>1.5</v>
      </c>
      <c r="L27">
        <f t="shared" si="6"/>
        <v>3</v>
      </c>
      <c r="M27">
        <f t="shared" si="7"/>
        <v>6.0435757324319743</v>
      </c>
    </row>
    <row r="28" spans="1:13" ht="15" customHeight="1" x14ac:dyDescent="0.45">
      <c r="A28">
        <v>2.7800103920345709E-2</v>
      </c>
      <c r="B28" t="s">
        <v>44</v>
      </c>
      <c r="C28">
        <v>3.82</v>
      </c>
      <c r="D28">
        <v>210.46</v>
      </c>
      <c r="E28">
        <f t="shared" si="0"/>
        <v>27.501087084855971</v>
      </c>
      <c r="F28">
        <v>1.0448154860159611</v>
      </c>
      <c r="G28">
        <f t="shared" si="1"/>
        <v>28.733561668531063</v>
      </c>
      <c r="H28">
        <f t="shared" si="2"/>
        <v>1.4512699943560596</v>
      </c>
      <c r="I28">
        <f t="shared" si="3"/>
        <v>1</v>
      </c>
      <c r="J28">
        <f t="shared" si="4"/>
        <v>1.4512699943560596</v>
      </c>
      <c r="K28" t="str">
        <f t="shared" si="5"/>
        <v/>
      </c>
      <c r="L28" t="str">
        <f t="shared" si="6"/>
        <v/>
      </c>
      <c r="M28">
        <f t="shared" si="7"/>
        <v>5.5438513784401477</v>
      </c>
    </row>
    <row r="29" spans="1:13" ht="15" customHeight="1" x14ac:dyDescent="0.45">
      <c r="A29">
        <v>2.7293953875134079E-2</v>
      </c>
      <c r="B29" t="s">
        <v>29</v>
      </c>
      <c r="C29">
        <v>4.38</v>
      </c>
      <c r="D29">
        <v>213.39</v>
      </c>
      <c r="E29">
        <f t="shared" si="0"/>
        <v>31.099693689318322</v>
      </c>
      <c r="F29">
        <v>1.0293980220655869</v>
      </c>
      <c r="G29">
        <f t="shared" si="1"/>
        <v>32.0139631706299</v>
      </c>
      <c r="H29">
        <f t="shared" si="2"/>
        <v>1.2788460645903708</v>
      </c>
      <c r="I29">
        <f t="shared" si="3"/>
        <v>1</v>
      </c>
      <c r="J29">
        <f t="shared" si="4"/>
        <v>1.2788460645903708</v>
      </c>
      <c r="K29" t="str">
        <f t="shared" si="5"/>
        <v/>
      </c>
      <c r="L29" t="str">
        <f t="shared" si="6"/>
        <v/>
      </c>
      <c r="M29">
        <f t="shared" si="7"/>
        <v>5.6013457629058241</v>
      </c>
    </row>
    <row r="30" spans="1:13" ht="15" customHeight="1" x14ac:dyDescent="0.45">
      <c r="A30">
        <v>2.912021418605194E-2</v>
      </c>
      <c r="B30" t="s">
        <v>43</v>
      </c>
      <c r="C30">
        <v>6.04</v>
      </c>
      <c r="D30">
        <v>247.96</v>
      </c>
      <c r="E30">
        <f t="shared" si="0"/>
        <v>36.907223550230484</v>
      </c>
      <c r="F30">
        <v>1.1219526077441679</v>
      </c>
      <c r="G30">
        <f t="shared" si="1"/>
        <v>41.408155706778061</v>
      </c>
      <c r="H30">
        <f t="shared" si="2"/>
        <v>1.0548724166415342</v>
      </c>
      <c r="I30">
        <f t="shared" si="3"/>
        <v>1</v>
      </c>
      <c r="J30">
        <f t="shared" si="4"/>
        <v>1.0548724166415342</v>
      </c>
      <c r="K30" t="str">
        <f t="shared" si="5"/>
        <v/>
      </c>
      <c r="L30" t="str">
        <f t="shared" si="6"/>
        <v/>
      </c>
      <c r="M30">
        <f t="shared" si="7"/>
        <v>6.3714293965148663</v>
      </c>
    </row>
    <row r="31" spans="1:13" ht="15" customHeight="1" x14ac:dyDescent="0.45">
      <c r="A31">
        <v>1.537232155871728E-2</v>
      </c>
      <c r="B31" t="s">
        <v>66</v>
      </c>
      <c r="C31">
        <v>5.77</v>
      </c>
      <c r="D31">
        <v>189.43</v>
      </c>
      <c r="E31">
        <f t="shared" si="0"/>
        <v>46.151212809081152</v>
      </c>
      <c r="F31">
        <v>0.84253816028656237</v>
      </c>
      <c r="G31">
        <f t="shared" si="1"/>
        <v>38.884157935156864</v>
      </c>
      <c r="H31">
        <f t="shared" si="2"/>
        <v>0.59300454381777257</v>
      </c>
      <c r="I31">
        <f t="shared" si="3"/>
        <v>2</v>
      </c>
      <c r="J31">
        <f t="shared" si="4"/>
        <v>1.1860090876355451</v>
      </c>
      <c r="K31">
        <f t="shared" si="5"/>
        <v>1.5</v>
      </c>
      <c r="L31">
        <f t="shared" si="6"/>
        <v>1.5</v>
      </c>
      <c r="M31">
        <f t="shared" si="7"/>
        <v>3.4216362178285475</v>
      </c>
    </row>
    <row r="32" spans="1:13" ht="15" customHeight="1" x14ac:dyDescent="0.45">
      <c r="A32">
        <v>1.425511094905086E-2</v>
      </c>
      <c r="B32" t="s">
        <v>49</v>
      </c>
      <c r="C32">
        <v>3.26</v>
      </c>
      <c r="D32">
        <v>208.71</v>
      </c>
      <c r="E32">
        <f t="shared" si="0"/>
        <v>23.666302234650658</v>
      </c>
      <c r="F32">
        <v>0.98610609512485481</v>
      </c>
      <c r="G32">
        <f t="shared" si="1"/>
        <v>23.337484882655986</v>
      </c>
      <c r="H32">
        <f t="shared" si="2"/>
        <v>0.91623696945455835</v>
      </c>
      <c r="I32">
        <f t="shared" si="3"/>
        <v>2</v>
      </c>
      <c r="J32">
        <f t="shared" si="4"/>
        <v>1.8324739389091167</v>
      </c>
      <c r="K32">
        <f t="shared" si="5"/>
        <v>1.5</v>
      </c>
      <c r="L32">
        <f t="shared" si="6"/>
        <v>1.5</v>
      </c>
      <c r="M32">
        <f t="shared" si="7"/>
        <v>2.9869325204218602</v>
      </c>
    </row>
    <row r="33" spans="1:13" ht="15" customHeight="1" x14ac:dyDescent="0.5">
      <c r="A33" s="44"/>
      <c r="E33" s="44"/>
      <c r="G33" t="s">
        <v>30</v>
      </c>
      <c r="H33" s="2">
        <f>SUM(J17:J32)</f>
        <v>38.144822435489438</v>
      </c>
      <c r="I33" s="45"/>
      <c r="J33" s="46"/>
      <c r="M33" s="22">
        <f>SUM(M17:M32)</f>
        <v>213.35928885433287</v>
      </c>
    </row>
    <row r="34" spans="1:13" ht="15" customHeight="1" x14ac:dyDescent="0.5">
      <c r="A34" s="44"/>
      <c r="E34" s="44"/>
      <c r="G34" t="s">
        <v>62</v>
      </c>
      <c r="H34" s="2">
        <f>$C$14-H33</f>
        <v>11.855177564510562</v>
      </c>
      <c r="I34" s="47"/>
      <c r="J34" s="48" t="s">
        <v>33</v>
      </c>
      <c r="M34" s="49"/>
    </row>
    <row r="35" spans="1:13" ht="15" customHeight="1" x14ac:dyDescent="0.5">
      <c r="A35" s="44"/>
      <c r="E35" s="44"/>
      <c r="G35" t="s">
        <v>34</v>
      </c>
      <c r="H35" s="2">
        <f>SUM(H33:H34)</f>
        <v>50</v>
      </c>
      <c r="I35" s="50"/>
      <c r="J35" s="51"/>
      <c r="M35" s="28"/>
    </row>
    <row r="36" spans="1:13" ht="15" customHeight="1" x14ac:dyDescent="0.5">
      <c r="A36" s="3"/>
      <c r="E36" s="2"/>
      <c r="G36" t="s">
        <v>63</v>
      </c>
      <c r="H36" s="2">
        <f>SUM(M17:M32)/H35</f>
        <v>4.2671857770866577</v>
      </c>
      <c r="I36" s="2"/>
      <c r="J36" s="52"/>
      <c r="M36" s="2"/>
    </row>
    <row r="37" spans="1:13" ht="15" customHeight="1" x14ac:dyDescent="0.45"/>
    <row r="38" spans="1:13" ht="15" customHeight="1" x14ac:dyDescent="0.45"/>
    <row r="39" spans="1:13" ht="15" customHeight="1" x14ac:dyDescent="0.45"/>
    <row r="40" spans="1:13" ht="15" customHeight="1" x14ac:dyDescent="0.45"/>
    <row r="41" spans="1:13" ht="15" customHeight="1" x14ac:dyDescent="0.45"/>
    <row r="42" spans="1:13" ht="15" customHeight="1" x14ac:dyDescent="0.45"/>
    <row r="43" spans="1:13" ht="15" customHeight="1" x14ac:dyDescent="0.45"/>
    <row r="44" spans="1:13" ht="15" customHeight="1" x14ac:dyDescent="0.45"/>
    <row r="45" spans="1:13" ht="15" customHeight="1" x14ac:dyDescent="0.45"/>
    <row r="46" spans="1:13" ht="15" customHeight="1" x14ac:dyDescent="0.45"/>
    <row r="47" spans="1:13" ht="15" customHeight="1" x14ac:dyDescent="0.45"/>
    <row r="48" spans="1:13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1048574" ht="12.85" customHeight="1" x14ac:dyDescent="0.45"/>
    <row r="1048575" ht="12.85" customHeight="1" x14ac:dyDescent="0.45"/>
    <row r="1048576" ht="12.85" customHeight="1" x14ac:dyDescent="0.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ATAC-seq_1</vt:lpstr>
      <vt:lpstr>ATAC-seq_2</vt:lpstr>
      <vt:lpstr>RNA-seq</vt:lpstr>
      <vt:lpstr>sRNA-seq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Freeman</cp:lastModifiedBy>
  <dcterms:created xsi:type="dcterms:W3CDTF">2026-04-02T20:18:56Z</dcterms:created>
  <dcterms:modified xsi:type="dcterms:W3CDTF">2026-04-02T21:45:33Z</dcterms:modified>
</cp:coreProperties>
</file>